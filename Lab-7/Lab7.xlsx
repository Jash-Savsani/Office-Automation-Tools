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B.Sc(Hons)CS\Semester-2\Office Automstion Tools\Lab Practice\Lab7\"/>
    </mc:Choice>
  </mc:AlternateContent>
  <xr:revisionPtr revIDLastSave="0" documentId="13_ncr:1_{89910EF5-2FDF-4088-AEF6-8FD592704371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15Stu_MID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5" i="1" l="1"/>
  <c r="F19" i="1"/>
  <c r="N9" i="1"/>
  <c r="N4" i="1" l="1"/>
  <c r="N5" i="1"/>
  <c r="N6" i="1"/>
  <c r="N7" i="1"/>
  <c r="N8" i="1"/>
  <c r="N11" i="1"/>
  <c r="N12" i="1"/>
  <c r="N13" i="1"/>
  <c r="N14" i="1"/>
  <c r="N15" i="1"/>
  <c r="N16" i="1"/>
  <c r="N17" i="1"/>
  <c r="N3" i="1"/>
  <c r="F23" i="1"/>
  <c r="F21" i="1"/>
  <c r="F20" i="1"/>
  <c r="F22" i="1" l="1"/>
  <c r="L4" i="1"/>
  <c r="L7" i="1"/>
  <c r="L3" i="1"/>
  <c r="L16" i="1"/>
  <c r="L6" i="1"/>
  <c r="L8" i="1"/>
  <c r="L10" i="1"/>
  <c r="L5" i="1"/>
  <c r="L12" i="1"/>
  <c r="L17" i="1"/>
  <c r="L9" i="1"/>
  <c r="L15" i="1"/>
  <c r="L14" i="1"/>
  <c r="L13" i="1"/>
  <c r="L11" i="1"/>
  <c r="K13" i="1"/>
  <c r="M13" i="1" s="1"/>
  <c r="J13" i="1"/>
  <c r="K14" i="1"/>
  <c r="M14" i="1" s="1"/>
  <c r="J14" i="1"/>
  <c r="K15" i="1"/>
  <c r="M15" i="1" s="1"/>
  <c r="J15" i="1"/>
  <c r="K9" i="1"/>
  <c r="M9" i="1" s="1"/>
  <c r="J9" i="1"/>
  <c r="K17" i="1"/>
  <c r="M17" i="1" s="1"/>
  <c r="J17" i="1"/>
  <c r="K12" i="1"/>
  <c r="M12" i="1" s="1"/>
  <c r="J12" i="1"/>
  <c r="K5" i="1"/>
  <c r="M5" i="1" s="1"/>
  <c r="J5" i="1"/>
  <c r="K10" i="1"/>
  <c r="M10" i="1" s="1"/>
  <c r="J10" i="1"/>
  <c r="K8" i="1"/>
  <c r="M8" i="1" s="1"/>
  <c r="J8" i="1"/>
  <c r="K6" i="1"/>
  <c r="M6" i="1" s="1"/>
  <c r="J6" i="1"/>
  <c r="K16" i="1"/>
  <c r="M16" i="1" s="1"/>
  <c r="J16" i="1"/>
  <c r="K3" i="1"/>
  <c r="M3" i="1" s="1"/>
  <c r="J3" i="1"/>
  <c r="K7" i="1"/>
  <c r="M7" i="1" s="1"/>
  <c r="J7" i="1"/>
  <c r="K4" i="1"/>
  <c r="M4" i="1" s="1"/>
  <c r="J4" i="1"/>
  <c r="K11" i="1"/>
  <c r="M11" i="1" s="1"/>
  <c r="J11" i="1"/>
</calcChain>
</file>

<file path=xl/sharedStrings.xml><?xml version="1.0" encoding="utf-8"?>
<sst xmlns="http://schemas.openxmlformats.org/spreadsheetml/2006/main" count="46" uniqueCount="44">
  <si>
    <r>
      <rPr>
        <b/>
        <sz val="12"/>
        <color theme="1"/>
        <rFont val="Calibri"/>
        <family val="2"/>
        <scheme val="minor"/>
      </rPr>
      <t>Sr No</t>
    </r>
    <r>
      <rPr>
        <sz val="11"/>
        <color theme="1"/>
        <rFont val="Calibri"/>
        <family val="2"/>
        <scheme val="minor"/>
      </rPr>
      <t>.</t>
    </r>
  </si>
  <si>
    <t>Name</t>
  </si>
  <si>
    <t>Column Line</t>
  </si>
  <si>
    <t>Total</t>
  </si>
  <si>
    <t>Average</t>
  </si>
  <si>
    <t>Percantage</t>
  </si>
  <si>
    <t>Grade</t>
  </si>
  <si>
    <t>Rajat</t>
  </si>
  <si>
    <t>Virat</t>
  </si>
  <si>
    <t>Suresh</t>
  </si>
  <si>
    <t>Yuvraj</t>
  </si>
  <si>
    <t>Hardik</t>
  </si>
  <si>
    <t>Surya</t>
  </si>
  <si>
    <t>Shubh</t>
  </si>
  <si>
    <t>Ronak</t>
  </si>
  <si>
    <t>Vedant</t>
  </si>
  <si>
    <t>Meet</t>
  </si>
  <si>
    <t>Gaurav</t>
  </si>
  <si>
    <t>Sagar</t>
  </si>
  <si>
    <t>Jasmin</t>
  </si>
  <si>
    <t>Jenil</t>
  </si>
  <si>
    <t>Kartik</t>
  </si>
  <si>
    <t>MID EXAMINATION RESULT</t>
  </si>
  <si>
    <t>JAVA</t>
  </si>
  <si>
    <t>ENGLISH</t>
  </si>
  <si>
    <t>MATHS</t>
  </si>
  <si>
    <t>DF</t>
  </si>
  <si>
    <t>Column</t>
  </si>
  <si>
    <t>DATA VALIDATION</t>
  </si>
  <si>
    <t>Enter Name</t>
  </si>
  <si>
    <t>Enter Age Between 18 to 36</t>
  </si>
  <si>
    <t>TEXT LENGTH VALIDATION</t>
  </si>
  <si>
    <t>DATE VALIDATION</t>
  </si>
  <si>
    <t>COUNT STUDENT</t>
  </si>
  <si>
    <t xml:space="preserve"> </t>
  </si>
  <si>
    <t>COUNT STUDENT GREATER THAN 50</t>
  </si>
  <si>
    <t>SIM IF J STARTS STUDENT NAME</t>
  </si>
  <si>
    <t>BAD</t>
  </si>
  <si>
    <t>COUNT IF GOOD COMPARISON</t>
  </si>
  <si>
    <t>COUNT</t>
  </si>
  <si>
    <t>IF</t>
  </si>
  <si>
    <t>COMPARISON</t>
  </si>
  <si>
    <t xml:space="preserve">VLLOKUP USE FOR SURYA'S GREAD </t>
  </si>
  <si>
    <t>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</si>
</sst>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6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/>
    </xf>
    <xf numFmtId="9" fontId="0" fillId="0" borderId="3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5" fillId="5" borderId="4" xfId="0" applyNumberFormat="1" applyFont="1" applyFill="1" applyBorder="1" applyAlignment="1">
      <alignment horizontal="center"/>
    </xf>
    <xf numFmtId="1" fontId="4" fillId="6" borderId="4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5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B7A6-BC46-47E0-B9C4-92956BEFD9F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F25" sqref="F25"/>
    </sheetView>
  </sheetViews>
  <sheetFormatPr defaultRowHeight="15" x14ac:dyDescent="0.25"/>
  <cols>
    <col min="1" max="1" width="9.140625" style="1"/>
    <col min="15" max="15" width="14.42578125" customWidth="1"/>
    <col min="16" max="16" width="22.140625" customWidth="1"/>
  </cols>
  <sheetData>
    <row r="1" spans="1:18" s="2" customFormat="1" ht="21" x14ac:dyDescent="0.25">
      <c r="A1" s="24" t="s">
        <v>22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O1" s="2" t="s">
        <v>28</v>
      </c>
    </row>
    <row r="2" spans="1:18" s="2" customFormat="1" ht="31.5" x14ac:dyDescent="0.25">
      <c r="A2" s="4" t="s">
        <v>0</v>
      </c>
      <c r="B2" s="5" t="s">
        <v>1</v>
      </c>
      <c r="C2" s="5" t="s">
        <v>23</v>
      </c>
      <c r="D2" s="5" t="s">
        <v>24</v>
      </c>
      <c r="E2" s="5" t="s">
        <v>25</v>
      </c>
      <c r="F2" s="5" t="s">
        <v>43</v>
      </c>
      <c r="G2" s="5" t="s">
        <v>26</v>
      </c>
      <c r="H2" s="5" t="s">
        <v>27</v>
      </c>
      <c r="I2" s="6" t="s">
        <v>2</v>
      </c>
      <c r="J2" s="5" t="s">
        <v>3</v>
      </c>
      <c r="K2" s="5" t="s">
        <v>4</v>
      </c>
      <c r="L2" s="5" t="s">
        <v>5</v>
      </c>
      <c r="M2" s="5" t="s">
        <v>6</v>
      </c>
      <c r="O2" s="2" t="s">
        <v>29</v>
      </c>
      <c r="P2" s="2" t="s">
        <v>30</v>
      </c>
      <c r="Q2" s="2" t="s">
        <v>31</v>
      </c>
      <c r="R2" s="2" t="s">
        <v>32</v>
      </c>
    </row>
    <row r="3" spans="1:18" s="9" customFormat="1" x14ac:dyDescent="0.25">
      <c r="A3" s="21">
        <v>4</v>
      </c>
      <c r="B3" s="22" t="s">
        <v>10</v>
      </c>
      <c r="C3" s="18">
        <v>26</v>
      </c>
      <c r="D3" s="18">
        <v>14</v>
      </c>
      <c r="E3" s="18">
        <v>27</v>
      </c>
      <c r="F3" s="18">
        <v>28</v>
      </c>
      <c r="G3" s="18">
        <v>10</v>
      </c>
      <c r="H3" s="19"/>
      <c r="I3" s="20"/>
      <c r="J3" s="18">
        <f t="shared" ref="J3:J17" si="0">SUM(C3:G3)</f>
        <v>105</v>
      </c>
      <c r="K3" s="18">
        <f t="shared" ref="K3:K17" si="1">AVERAGE(C3:G3)</f>
        <v>21</v>
      </c>
      <c r="L3" s="8">
        <f t="shared" ref="L3:L17" si="2">AVERAGE(C3:G3)/30</f>
        <v>0.7</v>
      </c>
      <c r="M3" s="7" t="str">
        <f t="shared" ref="M3:M17" si="3">IF(K3&gt;25,"A",IF(K3&gt;20,"B",IF(K3&gt;13,"C","D")))</f>
        <v>B</v>
      </c>
      <c r="N3" s="9" t="str">
        <f>IF(L3&gt;70%,"EXCELLENT",IF(L3&gt;60%,"GOOD","BAD"))</f>
        <v>GOOD</v>
      </c>
      <c r="O3" s="2" t="s">
        <v>10</v>
      </c>
      <c r="P3" s="2">
        <v>25</v>
      </c>
    </row>
    <row r="4" spans="1:18" s="9" customFormat="1" x14ac:dyDescent="0.25">
      <c r="A4" s="10">
        <v>2</v>
      </c>
      <c r="B4" s="11" t="s">
        <v>8</v>
      </c>
      <c r="C4" s="12">
        <v>23</v>
      </c>
      <c r="D4" s="12">
        <v>19</v>
      </c>
      <c r="E4" s="12">
        <v>10</v>
      </c>
      <c r="F4" s="12">
        <v>20</v>
      </c>
      <c r="G4" s="12">
        <v>14</v>
      </c>
      <c r="H4" s="19"/>
      <c r="I4" s="20"/>
      <c r="J4" s="13">
        <f t="shared" si="0"/>
        <v>86</v>
      </c>
      <c r="K4" s="13">
        <f t="shared" si="1"/>
        <v>17.2</v>
      </c>
      <c r="L4" s="8">
        <f t="shared" si="2"/>
        <v>0.57333333333333336</v>
      </c>
      <c r="M4" s="7" t="str">
        <f t="shared" si="3"/>
        <v>C</v>
      </c>
      <c r="N4" s="9" t="str">
        <f t="shared" ref="N4:N17" si="4">IF(L4&gt;70%,"EXCELLENT",IF(L4&gt;60%,"GOOD","BAD"))</f>
        <v>BAD</v>
      </c>
      <c r="P4" s="2">
        <v>25</v>
      </c>
    </row>
    <row r="5" spans="1:18" s="9" customFormat="1" x14ac:dyDescent="0.25">
      <c r="A5" s="14">
        <v>9</v>
      </c>
      <c r="B5" s="15" t="s">
        <v>15</v>
      </c>
      <c r="C5" s="16">
        <v>21</v>
      </c>
      <c r="D5" s="16">
        <v>22</v>
      </c>
      <c r="E5" s="16">
        <v>20</v>
      </c>
      <c r="F5" s="16">
        <v>22</v>
      </c>
      <c r="G5" s="16">
        <v>22</v>
      </c>
      <c r="H5" s="19"/>
      <c r="I5" s="20"/>
      <c r="J5" s="7">
        <f t="shared" si="0"/>
        <v>107</v>
      </c>
      <c r="K5" s="7">
        <f t="shared" si="1"/>
        <v>21.4</v>
      </c>
      <c r="L5" s="8">
        <f t="shared" si="2"/>
        <v>0.71333333333333326</v>
      </c>
      <c r="M5" s="7" t="str">
        <f t="shared" si="3"/>
        <v>B</v>
      </c>
      <c r="N5" s="9" t="str">
        <f t="shared" si="4"/>
        <v>EXCELLENT</v>
      </c>
      <c r="P5" s="2">
        <v>25</v>
      </c>
    </row>
    <row r="6" spans="1:18" s="9" customFormat="1" x14ac:dyDescent="0.25">
      <c r="A6" s="4">
        <v>6</v>
      </c>
      <c r="B6" s="3" t="s">
        <v>12</v>
      </c>
      <c r="C6" s="17">
        <v>7</v>
      </c>
      <c r="D6" s="17">
        <v>27</v>
      </c>
      <c r="E6" s="17">
        <v>22</v>
      </c>
      <c r="F6" s="17">
        <v>23</v>
      </c>
      <c r="G6" s="17">
        <v>22</v>
      </c>
      <c r="H6" s="19"/>
      <c r="I6" s="20"/>
      <c r="J6" s="18">
        <f t="shared" si="0"/>
        <v>101</v>
      </c>
      <c r="K6" s="18">
        <f t="shared" si="1"/>
        <v>20.2</v>
      </c>
      <c r="L6" s="8">
        <f t="shared" si="2"/>
        <v>0.67333333333333334</v>
      </c>
      <c r="M6" s="7" t="str">
        <f t="shared" si="3"/>
        <v>B</v>
      </c>
      <c r="N6" s="9" t="str">
        <f t="shared" si="4"/>
        <v>GOOD</v>
      </c>
      <c r="P6" s="2">
        <v>25</v>
      </c>
    </row>
    <row r="7" spans="1:18" s="9" customFormat="1" x14ac:dyDescent="0.25">
      <c r="A7" s="14">
        <v>3</v>
      </c>
      <c r="B7" s="15" t="s">
        <v>9</v>
      </c>
      <c r="C7" s="16">
        <v>6</v>
      </c>
      <c r="D7" s="16">
        <v>25</v>
      </c>
      <c r="E7" s="16">
        <v>29</v>
      </c>
      <c r="F7" s="16">
        <v>15</v>
      </c>
      <c r="G7" s="16">
        <v>26</v>
      </c>
      <c r="H7" s="19"/>
      <c r="I7" s="20"/>
      <c r="J7" s="7">
        <f t="shared" si="0"/>
        <v>101</v>
      </c>
      <c r="K7" s="7">
        <f t="shared" si="1"/>
        <v>20.2</v>
      </c>
      <c r="L7" s="8">
        <f t="shared" si="2"/>
        <v>0.67333333333333334</v>
      </c>
      <c r="M7" s="7" t="str">
        <f t="shared" si="3"/>
        <v>B</v>
      </c>
      <c r="N7" s="9" t="str">
        <f t="shared" si="4"/>
        <v>GOOD</v>
      </c>
      <c r="P7" s="2">
        <v>25</v>
      </c>
    </row>
    <row r="8" spans="1:18" s="9" customFormat="1" ht="15.75" customHeight="1" x14ac:dyDescent="0.25">
      <c r="A8" s="14">
        <v>7</v>
      </c>
      <c r="B8" s="15" t="s">
        <v>13</v>
      </c>
      <c r="C8" s="16">
        <v>29</v>
      </c>
      <c r="D8" s="16">
        <v>23</v>
      </c>
      <c r="E8" s="16">
        <v>22</v>
      </c>
      <c r="F8" s="16">
        <v>25</v>
      </c>
      <c r="G8" s="16">
        <v>29</v>
      </c>
      <c r="H8" s="19"/>
      <c r="I8" s="20"/>
      <c r="J8" s="7">
        <f t="shared" si="0"/>
        <v>128</v>
      </c>
      <c r="K8" s="7">
        <f t="shared" si="1"/>
        <v>25.6</v>
      </c>
      <c r="L8" s="8">
        <f t="shared" si="2"/>
        <v>0.85333333333333339</v>
      </c>
      <c r="M8" s="7" t="str">
        <f t="shared" si="3"/>
        <v>A</v>
      </c>
      <c r="N8" s="9" t="str">
        <f t="shared" si="4"/>
        <v>EXCELLENT</v>
      </c>
      <c r="P8" s="2">
        <v>20</v>
      </c>
    </row>
    <row r="9" spans="1:18" s="9" customFormat="1" x14ac:dyDescent="0.25">
      <c r="A9" s="4">
        <v>12</v>
      </c>
      <c r="B9" s="3" t="s">
        <v>18</v>
      </c>
      <c r="C9" s="17">
        <v>26</v>
      </c>
      <c r="D9" s="17">
        <v>23</v>
      </c>
      <c r="E9" s="17">
        <v>30</v>
      </c>
      <c r="F9" s="17">
        <v>30</v>
      </c>
      <c r="G9" s="17">
        <v>30</v>
      </c>
      <c r="H9" s="19"/>
      <c r="I9" s="20"/>
      <c r="J9" s="18">
        <f t="shared" si="0"/>
        <v>139</v>
      </c>
      <c r="K9" s="18">
        <f t="shared" si="1"/>
        <v>27.8</v>
      </c>
      <c r="L9" s="8">
        <f t="shared" si="2"/>
        <v>0.92666666666666664</v>
      </c>
      <c r="M9" s="7" t="str">
        <f t="shared" si="3"/>
        <v>A</v>
      </c>
      <c r="N9" s="9" t="str">
        <f>IF(L9&gt;70%,"EXCELLENT",IF(L9&gt;60%,"GOOD","BAD"))</f>
        <v>EXCELLENT</v>
      </c>
      <c r="P9" s="2">
        <v>25</v>
      </c>
    </row>
    <row r="10" spans="1:18" s="9" customFormat="1" x14ac:dyDescent="0.25">
      <c r="A10" s="4">
        <v>8</v>
      </c>
      <c r="B10" s="3" t="s">
        <v>14</v>
      </c>
      <c r="C10" s="17">
        <v>25</v>
      </c>
      <c r="D10" s="17">
        <v>22</v>
      </c>
      <c r="E10" s="17">
        <v>11</v>
      </c>
      <c r="F10" s="17">
        <v>13</v>
      </c>
      <c r="G10" s="17">
        <v>29</v>
      </c>
      <c r="H10" s="19"/>
      <c r="I10" s="20"/>
      <c r="J10" s="18">
        <f t="shared" si="0"/>
        <v>100</v>
      </c>
      <c r="K10" s="18">
        <f t="shared" si="1"/>
        <v>20</v>
      </c>
      <c r="L10" s="8">
        <f t="shared" si="2"/>
        <v>0.66666666666666663</v>
      </c>
      <c r="M10" s="7" t="str">
        <f t="shared" si="3"/>
        <v>C</v>
      </c>
      <c r="N10" s="9" t="s">
        <v>34</v>
      </c>
      <c r="P10" s="2">
        <v>25</v>
      </c>
    </row>
    <row r="11" spans="1:18" s="9" customFormat="1" x14ac:dyDescent="0.25">
      <c r="A11" s="14">
        <v>1</v>
      </c>
      <c r="B11" s="15" t="s">
        <v>7</v>
      </c>
      <c r="C11" s="16">
        <v>12</v>
      </c>
      <c r="D11" s="16">
        <v>26</v>
      </c>
      <c r="E11" s="16">
        <v>22</v>
      </c>
      <c r="F11" s="16">
        <v>22</v>
      </c>
      <c r="G11" s="16">
        <v>24</v>
      </c>
      <c r="H11" s="19"/>
      <c r="I11" s="20"/>
      <c r="J11" s="7">
        <f t="shared" si="0"/>
        <v>106</v>
      </c>
      <c r="K11" s="7">
        <f t="shared" si="1"/>
        <v>21.2</v>
      </c>
      <c r="L11" s="8">
        <f t="shared" si="2"/>
        <v>0.70666666666666667</v>
      </c>
      <c r="M11" s="7" t="str">
        <f t="shared" si="3"/>
        <v>B</v>
      </c>
      <c r="N11" s="9" t="str">
        <f t="shared" si="4"/>
        <v>EXCELLENT</v>
      </c>
      <c r="P11" s="2">
        <v>25</v>
      </c>
    </row>
    <row r="12" spans="1:18" s="9" customFormat="1" x14ac:dyDescent="0.25">
      <c r="A12" s="4">
        <v>10</v>
      </c>
      <c r="B12" s="3" t="s">
        <v>16</v>
      </c>
      <c r="C12" s="17">
        <v>28</v>
      </c>
      <c r="D12" s="17">
        <v>12</v>
      </c>
      <c r="E12" s="17">
        <v>25</v>
      </c>
      <c r="F12" s="17">
        <v>20</v>
      </c>
      <c r="G12" s="17">
        <v>22</v>
      </c>
      <c r="H12" s="19"/>
      <c r="I12" s="20"/>
      <c r="J12" s="18">
        <f t="shared" si="0"/>
        <v>107</v>
      </c>
      <c r="K12" s="18">
        <f t="shared" si="1"/>
        <v>21.4</v>
      </c>
      <c r="L12" s="8">
        <f t="shared" si="2"/>
        <v>0.71333333333333326</v>
      </c>
      <c r="M12" s="7" t="str">
        <f t="shared" si="3"/>
        <v>B</v>
      </c>
      <c r="N12" s="9" t="str">
        <f t="shared" si="4"/>
        <v>EXCELLENT</v>
      </c>
      <c r="P12" s="2">
        <v>25</v>
      </c>
    </row>
    <row r="13" spans="1:18" s="9" customFormat="1" x14ac:dyDescent="0.25">
      <c r="A13" s="14">
        <v>15</v>
      </c>
      <c r="B13" s="15" t="s">
        <v>21</v>
      </c>
      <c r="C13" s="16">
        <v>19</v>
      </c>
      <c r="D13" s="16">
        <v>26</v>
      </c>
      <c r="E13" s="16">
        <v>14</v>
      </c>
      <c r="F13" s="16">
        <v>29</v>
      </c>
      <c r="G13" s="16">
        <v>21</v>
      </c>
      <c r="H13" s="19"/>
      <c r="I13" s="20"/>
      <c r="J13" s="7">
        <f t="shared" si="0"/>
        <v>109</v>
      </c>
      <c r="K13" s="7">
        <f t="shared" si="1"/>
        <v>21.8</v>
      </c>
      <c r="L13" s="8">
        <f t="shared" si="2"/>
        <v>0.72666666666666668</v>
      </c>
      <c r="M13" s="7" t="str">
        <f t="shared" si="3"/>
        <v>B</v>
      </c>
      <c r="N13" s="9" t="str">
        <f t="shared" si="4"/>
        <v>EXCELLENT</v>
      </c>
      <c r="P13" s="2">
        <v>25</v>
      </c>
    </row>
    <row r="14" spans="1:18" s="9" customFormat="1" x14ac:dyDescent="0.25">
      <c r="A14" s="4">
        <v>14</v>
      </c>
      <c r="B14" s="3" t="s">
        <v>20</v>
      </c>
      <c r="C14" s="17">
        <v>15</v>
      </c>
      <c r="D14" s="17">
        <v>28</v>
      </c>
      <c r="E14" s="17">
        <v>29</v>
      </c>
      <c r="F14" s="17">
        <v>28</v>
      </c>
      <c r="G14" s="17">
        <v>22</v>
      </c>
      <c r="H14" s="19"/>
      <c r="I14" s="20"/>
      <c r="J14" s="18">
        <f t="shared" si="0"/>
        <v>122</v>
      </c>
      <c r="K14" s="18">
        <f t="shared" si="1"/>
        <v>24.4</v>
      </c>
      <c r="L14" s="8">
        <f t="shared" si="2"/>
        <v>0.81333333333333324</v>
      </c>
      <c r="M14" s="7" t="str">
        <f t="shared" si="3"/>
        <v>B</v>
      </c>
      <c r="N14" s="9" t="str">
        <f t="shared" si="4"/>
        <v>EXCELLENT</v>
      </c>
      <c r="P14" s="2">
        <v>25</v>
      </c>
    </row>
    <row r="15" spans="1:18" s="9" customFormat="1" x14ac:dyDescent="0.25">
      <c r="A15" s="14">
        <v>13</v>
      </c>
      <c r="B15" s="15" t="s">
        <v>19</v>
      </c>
      <c r="C15" s="16">
        <v>20</v>
      </c>
      <c r="D15" s="16">
        <v>30</v>
      </c>
      <c r="E15" s="16">
        <v>25</v>
      </c>
      <c r="F15" s="16">
        <v>30</v>
      </c>
      <c r="G15" s="16">
        <v>20</v>
      </c>
      <c r="H15" s="19"/>
      <c r="I15" s="20"/>
      <c r="J15" s="7">
        <f t="shared" si="0"/>
        <v>125</v>
      </c>
      <c r="K15" s="7">
        <f t="shared" si="1"/>
        <v>25</v>
      </c>
      <c r="L15" s="8">
        <f t="shared" si="2"/>
        <v>0.83333333333333337</v>
      </c>
      <c r="M15" s="7" t="str">
        <f t="shared" si="3"/>
        <v>B</v>
      </c>
      <c r="N15" s="9" t="str">
        <f t="shared" si="4"/>
        <v>EXCELLENT</v>
      </c>
      <c r="P15" s="2">
        <v>25</v>
      </c>
    </row>
    <row r="16" spans="1:18" s="9" customFormat="1" x14ac:dyDescent="0.25">
      <c r="A16" s="14">
        <v>5</v>
      </c>
      <c r="B16" s="15" t="s">
        <v>11</v>
      </c>
      <c r="C16" s="16">
        <v>13</v>
      </c>
      <c r="D16" s="16">
        <v>24</v>
      </c>
      <c r="E16" s="16">
        <v>20</v>
      </c>
      <c r="F16" s="16">
        <v>19</v>
      </c>
      <c r="G16" s="16">
        <v>22</v>
      </c>
      <c r="H16" s="19"/>
      <c r="I16" s="20"/>
      <c r="J16" s="7">
        <f t="shared" si="0"/>
        <v>98</v>
      </c>
      <c r="K16" s="7">
        <f t="shared" si="1"/>
        <v>19.600000000000001</v>
      </c>
      <c r="L16" s="8">
        <f t="shared" si="2"/>
        <v>0.65333333333333343</v>
      </c>
      <c r="M16" s="7" t="str">
        <f t="shared" si="3"/>
        <v>C</v>
      </c>
      <c r="N16" s="9" t="str">
        <f t="shared" si="4"/>
        <v>GOOD</v>
      </c>
      <c r="P16" s="2">
        <v>25</v>
      </c>
    </row>
    <row r="17" spans="1:16" s="9" customFormat="1" x14ac:dyDescent="0.25">
      <c r="A17" s="14">
        <v>11</v>
      </c>
      <c r="B17" s="15" t="s">
        <v>17</v>
      </c>
      <c r="C17" s="16">
        <v>30</v>
      </c>
      <c r="D17" s="16">
        <v>11</v>
      </c>
      <c r="E17" s="16">
        <v>30</v>
      </c>
      <c r="F17" s="16">
        <v>15</v>
      </c>
      <c r="G17" s="16">
        <v>23</v>
      </c>
      <c r="H17" s="19"/>
      <c r="I17" s="20"/>
      <c r="J17" s="7">
        <f t="shared" si="0"/>
        <v>109</v>
      </c>
      <c r="K17" s="7">
        <f t="shared" si="1"/>
        <v>21.8</v>
      </c>
      <c r="L17" s="8">
        <f t="shared" si="2"/>
        <v>0.72666666666666668</v>
      </c>
      <c r="M17" s="7" t="str">
        <f t="shared" si="3"/>
        <v>B</v>
      </c>
      <c r="N17" s="9" t="str">
        <f t="shared" si="4"/>
        <v>EXCELLENT</v>
      </c>
      <c r="P17" s="2">
        <v>25</v>
      </c>
    </row>
    <row r="19" spans="1:16" x14ac:dyDescent="0.25">
      <c r="A19" s="1" t="s">
        <v>33</v>
      </c>
      <c r="F19">
        <f>COUNTA(B17:D25)</f>
        <v>7</v>
      </c>
    </row>
    <row r="20" spans="1:16" x14ac:dyDescent="0.25">
      <c r="A20" s="1" t="s">
        <v>35</v>
      </c>
      <c r="B20" s="23" t="s">
        <v>34</v>
      </c>
      <c r="F20">
        <f>COUNTIF(L3:L17,"&gt;75%")</f>
        <v>4</v>
      </c>
    </row>
    <row r="21" spans="1:16" x14ac:dyDescent="0.25">
      <c r="A21" s="1" t="s">
        <v>36</v>
      </c>
      <c r="F21">
        <f>SUMIF(B3:B17,"J*",J3:J17)</f>
        <v>247</v>
      </c>
    </row>
    <row r="22" spans="1:16" x14ac:dyDescent="0.25">
      <c r="A22" s="1" t="s">
        <v>38</v>
      </c>
      <c r="F22">
        <f>COUNTIF(N3:N17,"GOOD")</f>
        <v>4</v>
      </c>
    </row>
    <row r="23" spans="1:16" x14ac:dyDescent="0.25">
      <c r="A23" s="1" t="s">
        <v>39</v>
      </c>
      <c r="B23" t="s">
        <v>40</v>
      </c>
      <c r="C23" t="s">
        <v>37</v>
      </c>
      <c r="D23" t="s">
        <v>41</v>
      </c>
      <c r="F23">
        <f>COUNTIF(N3:N17,N10)</f>
        <v>1</v>
      </c>
    </row>
    <row r="25" spans="1:16" x14ac:dyDescent="0.25">
      <c r="A25" s="1" t="s">
        <v>42</v>
      </c>
      <c r="F25" t="str">
        <f>VLOOKUP(B6,B3:M17,12,FALSE)</f>
        <v>B</v>
      </c>
    </row>
  </sheetData>
  <sortState xmlns:xlrd2="http://schemas.microsoft.com/office/spreadsheetml/2017/richdata2" ref="A3:M17">
    <sortCondition descending="1" ref="B3"/>
  </sortState>
  <mergeCells count="1">
    <mergeCell ref="A1:M1"/>
  </mergeCells>
  <conditionalFormatting sqref="C3:C7 C9 C11 C13 C15 C17">
    <cfRule type="cellIs" dxfId="34" priority="54" operator="between">
      <formula>51</formula>
      <formula>83100</formula>
    </cfRule>
    <cfRule type="cellIs" dxfId="33" priority="55" operator="between">
      <formula>0</formula>
      <formula>50</formula>
    </cfRule>
  </conditionalFormatting>
  <conditionalFormatting sqref="D3:D7 D9 D11 D13 D15 D17">
    <cfRule type="top10" dxfId="32" priority="51" percent="1" bottom="1" rank="10"/>
    <cfRule type="aboveAverage" dxfId="31" priority="52"/>
    <cfRule type="top10" dxfId="30" priority="53" rank="3"/>
  </conditionalFormatting>
  <conditionalFormatting sqref="E3:F7 E9:F9 E11:F11 E13:F13 E15:F15 E17:F17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{9ED9ED67-981A-432A-830C-D51A61725B01}</x14:id>
        </ext>
      </extLst>
    </cfRule>
  </conditionalFormatting>
  <conditionalFormatting sqref="G3:H3 G9 G11 G13 G15 G17 G4:G7 H4:H17">
    <cfRule type="colorScale" priority="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7 J15 J13 J11 J9 J3:J7 I3:I17">
    <cfRule type="iconSet" priority="48">
      <iconSet iconSet="3Flags">
        <cfvo type="percent" val="0"/>
        <cfvo type="percent" val="33"/>
        <cfvo type="percent" val="67"/>
      </iconSet>
    </cfRule>
  </conditionalFormatting>
  <conditionalFormatting sqref="C8">
    <cfRule type="cellIs" dxfId="29" priority="46" operator="between">
      <formula>51</formula>
      <formula>83100</formula>
    </cfRule>
    <cfRule type="cellIs" dxfId="28" priority="47" operator="between">
      <formula>0</formula>
      <formula>50</formula>
    </cfRule>
  </conditionalFormatting>
  <conditionalFormatting sqref="D8">
    <cfRule type="top10" dxfId="27" priority="43" percent="1" bottom="1" rank="10"/>
    <cfRule type="aboveAverage" dxfId="26" priority="44"/>
    <cfRule type="top10" dxfId="25" priority="45" rank="3"/>
  </conditionalFormatting>
  <conditionalFormatting sqref="E8:F8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{E675ECCB-6E6B-44EF-A52F-B4DDAB827E44}</x14:id>
        </ext>
      </extLst>
    </cfRule>
  </conditionalFormatting>
  <conditionalFormatting sqref="G8"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8">
    <cfRule type="iconSet" priority="40">
      <iconSet iconSet="3Flags">
        <cfvo type="percent" val="0"/>
        <cfvo type="percent" val="33"/>
        <cfvo type="percent" val="67"/>
      </iconSet>
    </cfRule>
  </conditionalFormatting>
  <conditionalFormatting sqref="C10">
    <cfRule type="cellIs" dxfId="24" priority="38" operator="between">
      <formula>51</formula>
      <formula>83100</formula>
    </cfRule>
    <cfRule type="cellIs" dxfId="23" priority="39" operator="between">
      <formula>0</formula>
      <formula>50</formula>
    </cfRule>
  </conditionalFormatting>
  <conditionalFormatting sqref="D10">
    <cfRule type="top10" dxfId="22" priority="35" percent="1" bottom="1" rank="10"/>
    <cfRule type="aboveAverage" dxfId="21" priority="36"/>
    <cfRule type="top10" dxfId="20" priority="37" rank="3"/>
  </conditionalFormatting>
  <conditionalFormatting sqref="E10:F10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{23F198D7-0A78-49DC-8ADA-E87065627C42}</x14:id>
        </ext>
      </extLst>
    </cfRule>
  </conditionalFormatting>
  <conditionalFormatting sqref="G10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0">
    <cfRule type="iconSet" priority="32">
      <iconSet iconSet="3Flags">
        <cfvo type="percent" val="0"/>
        <cfvo type="percent" val="33"/>
        <cfvo type="percent" val="67"/>
      </iconSet>
    </cfRule>
  </conditionalFormatting>
  <conditionalFormatting sqref="C12">
    <cfRule type="cellIs" dxfId="19" priority="30" operator="between">
      <formula>51</formula>
      <formula>83100</formula>
    </cfRule>
    <cfRule type="cellIs" dxfId="18" priority="31" operator="between">
      <formula>0</formula>
      <formula>50</formula>
    </cfRule>
  </conditionalFormatting>
  <conditionalFormatting sqref="D12">
    <cfRule type="top10" dxfId="17" priority="27" percent="1" bottom="1" rank="10"/>
    <cfRule type="aboveAverage" dxfId="16" priority="28"/>
    <cfRule type="top10" dxfId="15" priority="29" rank="3"/>
  </conditionalFormatting>
  <conditionalFormatting sqref="E12:F12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{26EC9EFA-6D0D-4966-B697-B2C7C15EF20B}</x14:id>
        </ext>
      </extLst>
    </cfRule>
  </conditionalFormatting>
  <conditionalFormatting sqref="G12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2">
    <cfRule type="iconSet" priority="24">
      <iconSet iconSet="3Flags">
        <cfvo type="percent" val="0"/>
        <cfvo type="percent" val="33"/>
        <cfvo type="percent" val="67"/>
      </iconSet>
    </cfRule>
  </conditionalFormatting>
  <conditionalFormatting sqref="C14">
    <cfRule type="cellIs" dxfId="14" priority="22" operator="between">
      <formula>51</formula>
      <formula>83100</formula>
    </cfRule>
    <cfRule type="cellIs" dxfId="13" priority="23" operator="between">
      <formula>0</formula>
      <formula>50</formula>
    </cfRule>
  </conditionalFormatting>
  <conditionalFormatting sqref="D14">
    <cfRule type="top10" dxfId="12" priority="19" percent="1" bottom="1" rank="10"/>
    <cfRule type="aboveAverage" dxfId="11" priority="20"/>
    <cfRule type="top10" dxfId="10" priority="21" rank="3"/>
  </conditionalFormatting>
  <conditionalFormatting sqref="E14:F14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{5C9B6F76-A2C1-4861-90E0-683D514BC83D}</x14:id>
        </ext>
      </extLst>
    </cfRule>
  </conditionalFormatting>
  <conditionalFormatting sqref="G14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4">
    <cfRule type="iconSet" priority="16">
      <iconSet iconSet="3Flags">
        <cfvo type="percent" val="0"/>
        <cfvo type="percent" val="33"/>
        <cfvo type="percent" val="67"/>
      </iconSet>
    </cfRule>
  </conditionalFormatting>
  <conditionalFormatting sqref="C16">
    <cfRule type="cellIs" dxfId="9" priority="14" operator="between">
      <formula>51</formula>
      <formula>83100</formula>
    </cfRule>
    <cfRule type="cellIs" dxfId="8" priority="15" operator="between">
      <formula>0</formula>
      <formula>50</formula>
    </cfRule>
  </conditionalFormatting>
  <conditionalFormatting sqref="D16">
    <cfRule type="top10" dxfId="7" priority="11" percent="1" bottom="1" rank="10"/>
    <cfRule type="aboveAverage" dxfId="6" priority="12"/>
    <cfRule type="top10" dxfId="5" priority="13" rank="3"/>
  </conditionalFormatting>
  <conditionalFormatting sqref="E16:F1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{F3BC531D-C40E-436F-AD13-1A75D57DC694}</x14:id>
        </ext>
      </extLst>
    </cfRule>
  </conditionalFormatting>
  <conditionalFormatting sqref="G16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6">
    <cfRule type="iconSet" priority="8">
      <iconSet iconSet="3Flags">
        <cfvo type="percent" val="0"/>
        <cfvo type="percent" val="33"/>
        <cfvo type="percent" val="67"/>
      </iconSet>
    </cfRule>
  </conditionalFormatting>
  <conditionalFormatting sqref="C3:C17">
    <cfRule type="cellIs" dxfId="4" priority="7" operator="greaterThan">
      <formula>14</formula>
    </cfRule>
  </conditionalFormatting>
  <conditionalFormatting sqref="M3:M17">
    <cfRule type="containsText" dxfId="3" priority="6" operator="containsText" text="A">
      <formula>NOT(ISERROR(SEARCH("A",M3)))</formula>
    </cfRule>
  </conditionalFormatting>
  <conditionalFormatting sqref="M3:M17">
    <cfRule type="containsText" dxfId="2" priority="5" operator="containsText" text="A">
      <formula>NOT(ISERROR(SEARCH("A",M3)))</formula>
    </cfRule>
  </conditionalFormatting>
  <conditionalFormatting sqref="M3:M17">
    <cfRule type="containsText" dxfId="1" priority="4" operator="containsText" text="B">
      <formula>NOT(ISERROR(SEARCH("B",M3)))</formula>
    </cfRule>
  </conditionalFormatting>
  <conditionalFormatting sqref="M3:M17">
    <cfRule type="containsText" dxfId="0" priority="3" operator="containsText" text="C">
      <formula>NOT(ISERROR(SEARCH("C",M3)))</formula>
    </cfRule>
  </conditionalFormatting>
  <conditionalFormatting sqref="L3:L17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{30032CEE-E852-413D-A242-54457F5F370D}</x14:id>
        </ext>
      </extLst>
    </cfRule>
  </conditionalFormatting>
  <conditionalFormatting sqref="K3:K17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dataValidations xWindow="1069" yWindow="318" count="4">
    <dataValidation type="list" allowBlank="1" showInputMessage="1" showErrorMessage="1" errorTitle="Invalid " error="Enter Valid Name" prompt="Enter Name" sqref="O3:O17" xr:uid="{5FD63759-C979-49D7-B1CC-D09DD60C6873}">
      <formula1>$B$3:$B$17</formula1>
    </dataValidation>
    <dataValidation type="whole" allowBlank="1" showInputMessage="1" showErrorMessage="1" error="Soory Your Age is not Between 18 to 36." prompt="Enter Your Age Between 18 to 36." sqref="P3:P17" xr:uid="{4AD66906-B509-4BD5-BB25-9B3533FD62B9}">
      <formula1>18</formula1>
      <formula2>36</formula2>
    </dataValidation>
    <dataValidation type="textLength" operator="equal" allowBlank="1" showInputMessage="1" showErrorMessage="1" error="Your Enter Text Langht is Not 10 Size." prompt="Enter Text Which Langht is Must to 10 Size." sqref="Q3:Q17" xr:uid="{F11233D0-3FC9-4137-A7DF-5F61C756099A}">
      <formula1>10</formula1>
    </dataValidation>
    <dataValidation type="date" allowBlank="1" showInputMessage="1" showErrorMessage="1" prompt="ENTER DATE BETWEEN 01-01-2025 TO 01-12-2025." sqref="R3" xr:uid="{6048DA4F-D0C5-4A6E-B66C-521BD5533829}">
      <formula1>45658</formula1>
      <formula2>45669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D9ED67-981A-432A-830C-D51A61725B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E3:F7 E9:F9 E11:F11 E13:F13 E15:F15 E17:F17</xm:sqref>
        </x14:conditionalFormatting>
        <x14:conditionalFormatting xmlns:xm="http://schemas.microsoft.com/office/excel/2006/main">
          <x14:cfRule type="dataBar" id="{E675ECCB-6E6B-44EF-A52F-B4DDAB827E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E8:F8</xm:sqref>
        </x14:conditionalFormatting>
        <x14:conditionalFormatting xmlns:xm="http://schemas.microsoft.com/office/excel/2006/main">
          <x14:cfRule type="dataBar" id="{23F198D7-0A78-49DC-8ADA-E87065627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E10:F10</xm:sqref>
        </x14:conditionalFormatting>
        <x14:conditionalFormatting xmlns:xm="http://schemas.microsoft.com/office/excel/2006/main">
          <x14:cfRule type="dataBar" id="{26EC9EFA-6D0D-4966-B697-B2C7C15EF2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E12:F12</xm:sqref>
        </x14:conditionalFormatting>
        <x14:conditionalFormatting xmlns:xm="http://schemas.microsoft.com/office/excel/2006/main">
          <x14:cfRule type="dataBar" id="{5C9B6F76-A2C1-4861-90E0-683D514BC8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E14:F14</xm:sqref>
        </x14:conditionalFormatting>
        <x14:conditionalFormatting xmlns:xm="http://schemas.microsoft.com/office/excel/2006/main">
          <x14:cfRule type="dataBar" id="{F3BC531D-C40E-436F-AD13-1A75D57DC6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E16:F16</xm:sqref>
        </x14:conditionalFormatting>
        <x14:conditionalFormatting xmlns:xm="http://schemas.microsoft.com/office/excel/2006/main">
          <x14:cfRule type="dataBar" id="{30032CEE-E852-413D-A242-54457F5F37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L3:L17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04BFB61D-96A7-4E2D-BE5D-A5766768D1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'15Stu_MID'!C3:G3</xm:f>
              <xm:sqref>I3</xm:sqref>
            </x14:sparkline>
            <x14:sparkline>
              <xm:f>'15Stu_MID'!C4:G4</xm:f>
              <xm:sqref>I4</xm:sqref>
            </x14:sparkline>
            <x14:sparkline>
              <xm:f>'15Stu_MID'!C5:G5</xm:f>
              <xm:sqref>I5</xm:sqref>
            </x14:sparkline>
            <x14:sparkline>
              <xm:f>'15Stu_MID'!C6:G6</xm:f>
              <xm:sqref>I6</xm:sqref>
            </x14:sparkline>
            <x14:sparkline>
              <xm:f>'15Stu_MID'!C7:G7</xm:f>
              <xm:sqref>I7</xm:sqref>
            </x14:sparkline>
            <x14:sparkline>
              <xm:f>'15Stu_MID'!C8:G8</xm:f>
              <xm:sqref>I8</xm:sqref>
            </x14:sparkline>
            <x14:sparkline>
              <xm:f>'15Stu_MID'!C9:G9</xm:f>
              <xm:sqref>I9</xm:sqref>
            </x14:sparkline>
            <x14:sparkline>
              <xm:f>'15Stu_MID'!C10:G10</xm:f>
              <xm:sqref>I10</xm:sqref>
            </x14:sparkline>
            <x14:sparkline>
              <xm:f>'15Stu_MID'!C11:G11</xm:f>
              <xm:sqref>I11</xm:sqref>
            </x14:sparkline>
            <x14:sparkline>
              <xm:f>'15Stu_MID'!C12:G12</xm:f>
              <xm:sqref>I12</xm:sqref>
            </x14:sparkline>
            <x14:sparkline>
              <xm:f>'15Stu_MID'!C13:G13</xm:f>
              <xm:sqref>I13</xm:sqref>
            </x14:sparkline>
            <x14:sparkline>
              <xm:f>'15Stu_MID'!C14:G14</xm:f>
              <xm:sqref>I14</xm:sqref>
            </x14:sparkline>
            <x14:sparkline>
              <xm:f>'15Stu_MID'!C15:G15</xm:f>
              <xm:sqref>I15</xm:sqref>
            </x14:sparkline>
            <x14:sparkline>
              <xm:f>'15Stu_MID'!C16:G16</xm:f>
              <xm:sqref>I16</xm:sqref>
            </x14:sparkline>
            <x14:sparkline>
              <xm:f>'15Stu_MID'!C17:G17</xm:f>
              <xm:sqref>I17</xm:sqref>
            </x14:sparkline>
          </x14:sparklines>
        </x14:sparklineGroup>
        <x14:sparklineGroup type="column" displayEmptyCellsAs="gap" xr2:uid="{97DB026F-7379-4B62-A636-DA57122A2E1A}">
          <x14:colorSeries theme="4" tint="0.39997558519241921"/>
          <x14:colorNegative theme="0" tint="-0.499984740745262"/>
          <x14:colorAxis rgb="FF000000"/>
          <x14:colorMarkers theme="4" tint="0.79998168889431442"/>
          <x14:colorFirst theme="4" tint="-0.249977111117893"/>
          <x14:colorLast theme="4" tint="-0.249977111117893"/>
          <x14:colorHigh theme="4" tint="-0.499984740745262"/>
          <x14:colorLow theme="4" tint="-0.499984740745262"/>
          <x14:sparklines>
            <x14:sparkline>
              <xm:f>'15Stu_MID'!C3:G3</xm:f>
              <xm:sqref>H3</xm:sqref>
            </x14:sparkline>
            <x14:sparkline>
              <xm:f>'15Stu_MID'!C4:G4</xm:f>
              <xm:sqref>H4</xm:sqref>
            </x14:sparkline>
            <x14:sparkline>
              <xm:f>'15Stu_MID'!C5:G5</xm:f>
              <xm:sqref>H5</xm:sqref>
            </x14:sparkline>
            <x14:sparkline>
              <xm:f>'15Stu_MID'!C6:G6</xm:f>
              <xm:sqref>H6</xm:sqref>
            </x14:sparkline>
            <x14:sparkline>
              <xm:f>'15Stu_MID'!C7:G7</xm:f>
              <xm:sqref>H7</xm:sqref>
            </x14:sparkline>
            <x14:sparkline>
              <xm:f>'15Stu_MID'!C8:G8</xm:f>
              <xm:sqref>H8</xm:sqref>
            </x14:sparkline>
            <x14:sparkline>
              <xm:f>'15Stu_MID'!C9:G9</xm:f>
              <xm:sqref>H9</xm:sqref>
            </x14:sparkline>
            <x14:sparkline>
              <xm:f>'15Stu_MID'!C10:G10</xm:f>
              <xm:sqref>H10</xm:sqref>
            </x14:sparkline>
            <x14:sparkline>
              <xm:f>'15Stu_MID'!C11:G11</xm:f>
              <xm:sqref>H11</xm:sqref>
            </x14:sparkline>
            <x14:sparkline>
              <xm:f>'15Stu_MID'!C12:G12</xm:f>
              <xm:sqref>H12</xm:sqref>
            </x14:sparkline>
            <x14:sparkline>
              <xm:f>'15Stu_MID'!C13:G13</xm:f>
              <xm:sqref>H13</xm:sqref>
            </x14:sparkline>
            <x14:sparkline>
              <xm:f>'15Stu_MID'!C14:G14</xm:f>
              <xm:sqref>H14</xm:sqref>
            </x14:sparkline>
            <x14:sparkline>
              <xm:f>'15Stu_MID'!C15:G15</xm:f>
              <xm:sqref>H15</xm:sqref>
            </x14:sparkline>
            <x14:sparkline>
              <xm:f>'15Stu_MID'!C16:G16</xm:f>
              <xm:sqref>H16</xm:sqref>
            </x14:sparkline>
            <x14:sparkline>
              <xm:f>'15Stu_MID'!C17:G17</xm:f>
              <xm:sqref>H17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15Stu_MID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2025-03-01T06:58:03Z</dcterms:created>
  <dcterms:modified xsi:type="dcterms:W3CDTF">2025-03-22T12:02:36Z</dcterms:modified>
</cp:coreProperties>
</file>