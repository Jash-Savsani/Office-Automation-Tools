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E:\B.Sc(Hons)CS\Semester-2\Office Automstion Tools\Lab Practice\Lab7\"/>
    </mc:Choice>
  </mc:AlternateContent>
  <xr:revisionPtr revIDLastSave="0" documentId="13_ncr:1_{A93D71BA-EB66-44B4-952C-7122C2C73BE3}" xr6:coauthVersionLast="45" xr6:coauthVersionMax="45" xr10:uidLastSave="{00000000-0000-0000-0000-000000000000}"/>
  <bookViews>
    <workbookView xWindow="-120" yWindow="-120" windowWidth="20730" windowHeight="11160" activeTab="3" xr2:uid="{0E215AC7-027E-4218-B4BE-446F5E0BC43D}"/>
  </bookViews>
  <sheets>
    <sheet name="Sheet1" sheetId="1" r:id="rId1"/>
    <sheet name="Pivot1" sheetId="8" r:id="rId2"/>
    <sheet name="Pivot2" sheetId="9" r:id="rId3"/>
    <sheet name="Pivot3" sheetId="12" r:id="rId4"/>
    <sheet name="Sheet2" sheetId="13" r:id="rId5"/>
    <sheet name="50Stu_Data" sheetId="2" r:id="rId6"/>
  </sheets>
  <definedNames>
    <definedName name="Slicer_City">#N/A</definedName>
    <definedName name="Slicer_Gender">#N/A</definedName>
    <definedName name="Slicer_Gender1">#N/A</definedName>
    <definedName name="Slicer_Name">#N/A</definedName>
  </definedNames>
  <calcPr calcId="181029"/>
  <pivotCaches>
    <pivotCache cacheId="0" r:id="rId7"/>
    <pivotCache cacheId="2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3" i="2" l="1"/>
  <c r="H3" i="2"/>
  <c r="I3" i="2"/>
  <c r="J3" i="2"/>
  <c r="G2" i="2"/>
  <c r="H2" i="2"/>
  <c r="I2" i="2"/>
  <c r="J2" i="2"/>
  <c r="G4" i="2"/>
  <c r="H4" i="2"/>
  <c r="I4" i="2"/>
  <c r="J4" i="2"/>
  <c r="G5" i="2"/>
  <c r="H5" i="2"/>
  <c r="I5" i="2"/>
  <c r="J5" i="2"/>
  <c r="G6" i="2"/>
  <c r="H6" i="2"/>
  <c r="I6" i="2"/>
  <c r="J6" i="2"/>
  <c r="G7" i="2"/>
  <c r="H7" i="2"/>
  <c r="I7" i="2"/>
  <c r="J7" i="2"/>
  <c r="G8" i="2"/>
  <c r="H8" i="2"/>
  <c r="I8" i="2"/>
  <c r="J8" i="2"/>
  <c r="G9" i="2"/>
  <c r="H9" i="2"/>
  <c r="I9" i="2"/>
  <c r="J9" i="2"/>
  <c r="G10" i="2"/>
  <c r="H10" i="2"/>
  <c r="I10" i="2"/>
  <c r="J10" i="2"/>
  <c r="G11" i="2"/>
  <c r="H11" i="2"/>
  <c r="I11" i="2"/>
  <c r="J11" i="2"/>
  <c r="G12" i="2"/>
  <c r="H12" i="2"/>
  <c r="I12" i="2"/>
  <c r="J12" i="2"/>
  <c r="G13" i="2"/>
  <c r="H13" i="2"/>
  <c r="I13" i="2"/>
  <c r="J13" i="2"/>
  <c r="G14" i="2"/>
  <c r="H14" i="2"/>
  <c r="I14" i="2"/>
  <c r="J14" i="2"/>
  <c r="G15" i="2"/>
  <c r="H15" i="2"/>
  <c r="I15" i="2"/>
  <c r="J15" i="2"/>
  <c r="G16" i="2"/>
  <c r="H16" i="2"/>
  <c r="I16" i="2"/>
  <c r="J16" i="2"/>
  <c r="G17" i="2"/>
  <c r="H17" i="2"/>
  <c r="I17" i="2"/>
  <c r="J17" i="2"/>
  <c r="G18" i="2"/>
  <c r="H18" i="2"/>
  <c r="I18" i="2"/>
  <c r="J18" i="2"/>
  <c r="G19" i="2"/>
  <c r="H19" i="2"/>
  <c r="I19" i="2"/>
  <c r="J19" i="2"/>
  <c r="G20" i="2"/>
  <c r="H20" i="2"/>
  <c r="I20" i="2"/>
  <c r="J20" i="2"/>
  <c r="G21" i="2"/>
  <c r="H21" i="2"/>
  <c r="I21" i="2"/>
  <c r="J21" i="2"/>
  <c r="G22" i="2"/>
  <c r="H22" i="2"/>
  <c r="I22" i="2"/>
  <c r="J22" i="2"/>
  <c r="G23" i="2"/>
  <c r="H23" i="2"/>
  <c r="I23" i="2"/>
  <c r="J23" i="2"/>
  <c r="G24" i="2"/>
  <c r="H24" i="2"/>
  <c r="I24" i="2"/>
  <c r="J24" i="2"/>
  <c r="G25" i="2"/>
  <c r="H25" i="2"/>
  <c r="I25" i="2"/>
  <c r="J25" i="2"/>
  <c r="G26" i="2"/>
  <c r="H26" i="2"/>
  <c r="I26" i="2"/>
  <c r="J26" i="2"/>
  <c r="G27" i="2"/>
  <c r="H27" i="2"/>
  <c r="I27" i="2"/>
  <c r="J27" i="2"/>
  <c r="G28" i="2"/>
  <c r="H28" i="2"/>
  <c r="I28" i="2"/>
  <c r="J28" i="2"/>
  <c r="G29" i="2"/>
  <c r="H29" i="2"/>
  <c r="I29" i="2"/>
  <c r="J29" i="2"/>
  <c r="G30" i="2"/>
  <c r="H30" i="2"/>
  <c r="I30" i="2"/>
  <c r="J30" i="2"/>
  <c r="G31" i="2"/>
  <c r="H31" i="2"/>
  <c r="I31" i="2"/>
  <c r="J31" i="2"/>
  <c r="G32" i="2"/>
  <c r="H32" i="2"/>
  <c r="I32" i="2"/>
  <c r="J32" i="2"/>
  <c r="G33" i="2"/>
  <c r="H33" i="2"/>
  <c r="I33" i="2"/>
  <c r="J33" i="2"/>
  <c r="G34" i="2"/>
  <c r="H34" i="2"/>
  <c r="I34" i="2"/>
  <c r="J34" i="2"/>
  <c r="G35" i="2"/>
  <c r="H35" i="2"/>
  <c r="I35" i="2"/>
  <c r="J35" i="2"/>
  <c r="G36" i="2"/>
  <c r="H36" i="2"/>
  <c r="I36" i="2"/>
  <c r="J36" i="2"/>
  <c r="G37" i="2"/>
  <c r="H37" i="2"/>
  <c r="I37" i="2"/>
  <c r="J37" i="2"/>
  <c r="G38" i="2"/>
  <c r="H38" i="2"/>
  <c r="I38" i="2"/>
  <c r="J38" i="2"/>
  <c r="G39" i="2"/>
  <c r="H39" i="2"/>
  <c r="I39" i="2"/>
  <c r="J39" i="2"/>
  <c r="G40" i="2"/>
  <c r="H40" i="2"/>
  <c r="I40" i="2"/>
  <c r="J40" i="2"/>
  <c r="G41" i="2"/>
  <c r="H41" i="2"/>
  <c r="I41" i="2"/>
  <c r="J41" i="2"/>
  <c r="G42" i="2"/>
  <c r="H42" i="2"/>
  <c r="I42" i="2"/>
  <c r="J42" i="2"/>
  <c r="G43" i="2"/>
  <c r="H43" i="2"/>
  <c r="I43" i="2"/>
  <c r="J43" i="2"/>
  <c r="G44" i="2"/>
  <c r="H44" i="2"/>
  <c r="I44" i="2"/>
  <c r="J44" i="2"/>
  <c r="G45" i="2"/>
  <c r="H45" i="2"/>
  <c r="I45" i="2"/>
  <c r="J45" i="2"/>
  <c r="G46" i="2"/>
  <c r="H46" i="2"/>
  <c r="I46" i="2"/>
  <c r="J46" i="2"/>
  <c r="G47" i="2"/>
  <c r="H47" i="2"/>
  <c r="I47" i="2"/>
  <c r="J47" i="2"/>
  <c r="G48" i="2"/>
  <c r="H48" i="2"/>
  <c r="I48" i="2"/>
  <c r="J48" i="2"/>
  <c r="G49" i="2"/>
  <c r="H49" i="2"/>
  <c r="I49" i="2"/>
  <c r="J49" i="2"/>
  <c r="G50" i="2"/>
  <c r="H50" i="2"/>
  <c r="I50" i="2"/>
  <c r="J50" i="2"/>
  <c r="G51" i="2"/>
  <c r="H51" i="2"/>
  <c r="I51" i="2"/>
  <c r="J51" i="2"/>
  <c r="L3" i="1"/>
  <c r="L4" i="1"/>
  <c r="L5" i="1"/>
  <c r="K2" i="2" l="1"/>
  <c r="K3" i="2"/>
  <c r="M3" i="2"/>
  <c r="L3" i="2"/>
  <c r="N3" i="2" s="1"/>
  <c r="M2" i="2"/>
  <c r="L2" i="2"/>
  <c r="N2" i="2" s="1"/>
  <c r="L51" i="2"/>
  <c r="N51" i="2" s="1"/>
  <c r="L49" i="2"/>
  <c r="N49" i="2" s="1"/>
  <c r="L48" i="2"/>
  <c r="N48" i="2" s="1"/>
  <c r="L47" i="2"/>
  <c r="N47" i="2" s="1"/>
  <c r="L46" i="2"/>
  <c r="N46" i="2" s="1"/>
  <c r="L45" i="2"/>
  <c r="N45" i="2" s="1"/>
  <c r="L44" i="2"/>
  <c r="N44" i="2" s="1"/>
  <c r="L43" i="2"/>
  <c r="N43" i="2" s="1"/>
  <c r="L42" i="2"/>
  <c r="N42" i="2" s="1"/>
  <c r="L41" i="2"/>
  <c r="N41" i="2" s="1"/>
  <c r="L40" i="2"/>
  <c r="N40" i="2" s="1"/>
  <c r="L39" i="2"/>
  <c r="N39" i="2" s="1"/>
  <c r="L38" i="2"/>
  <c r="N38" i="2" s="1"/>
  <c r="L37" i="2"/>
  <c r="N37" i="2" s="1"/>
  <c r="L36" i="2"/>
  <c r="N36" i="2" s="1"/>
  <c r="L35" i="2"/>
  <c r="N35" i="2" s="1"/>
  <c r="L34" i="2"/>
  <c r="N34" i="2" s="1"/>
  <c r="L33" i="2"/>
  <c r="N33" i="2" s="1"/>
  <c r="L32" i="2"/>
  <c r="N32" i="2" s="1"/>
  <c r="L31" i="2"/>
  <c r="N31" i="2" s="1"/>
  <c r="L30" i="2"/>
  <c r="N30" i="2" s="1"/>
  <c r="L29" i="2"/>
  <c r="N29" i="2" s="1"/>
  <c r="L28" i="2"/>
  <c r="N28" i="2" s="1"/>
  <c r="L27" i="2"/>
  <c r="N27" i="2" s="1"/>
  <c r="L26" i="2"/>
  <c r="N26" i="2" s="1"/>
  <c r="L25" i="2"/>
  <c r="N25" i="2" s="1"/>
  <c r="L24" i="2"/>
  <c r="N24" i="2" s="1"/>
  <c r="L23" i="2"/>
  <c r="N23" i="2" s="1"/>
  <c r="L22" i="2"/>
  <c r="N22" i="2" s="1"/>
  <c r="L21" i="2"/>
  <c r="N21" i="2" s="1"/>
  <c r="L20" i="2"/>
  <c r="N20" i="2" s="1"/>
  <c r="L19" i="2"/>
  <c r="N19" i="2" s="1"/>
  <c r="L18" i="2"/>
  <c r="N18" i="2" s="1"/>
  <c r="L17" i="2"/>
  <c r="N17" i="2" s="1"/>
  <c r="L16" i="2"/>
  <c r="N16" i="2" s="1"/>
  <c r="L15" i="2"/>
  <c r="N15" i="2" s="1"/>
  <c r="L14" i="2"/>
  <c r="N14" i="2" s="1"/>
  <c r="L13" i="2"/>
  <c r="N13" i="2" s="1"/>
  <c r="L12" i="2"/>
  <c r="N12" i="2" s="1"/>
  <c r="L11" i="2"/>
  <c r="N11" i="2" s="1"/>
  <c r="L10" i="2"/>
  <c r="N10" i="2" s="1"/>
  <c r="L9" i="2"/>
  <c r="N9" i="2" s="1"/>
  <c r="L8" i="2"/>
  <c r="N8" i="2" s="1"/>
  <c r="L7" i="2"/>
  <c r="N7" i="2" s="1"/>
  <c r="L6" i="2"/>
  <c r="N6" i="2" s="1"/>
  <c r="L5" i="2"/>
  <c r="N5" i="2" s="1"/>
  <c r="L4" i="2"/>
  <c r="N4" i="2" s="1"/>
  <c r="K51" i="2"/>
  <c r="K50" i="2"/>
  <c r="K49"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48"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L50" i="2"/>
  <c r="N50" i="2" s="1"/>
  <c r="K17" i="1"/>
  <c r="K10" i="1"/>
  <c r="K11" i="1"/>
  <c r="K12" i="1"/>
  <c r="K13" i="1"/>
  <c r="K14" i="1"/>
  <c r="K15" i="1"/>
  <c r="K16" i="1"/>
  <c r="K4" i="1"/>
  <c r="K5" i="1"/>
  <c r="K6" i="1"/>
  <c r="K7" i="1"/>
  <c r="K8" i="1"/>
  <c r="K9" i="1"/>
  <c r="K3" i="1"/>
  <c r="I4" i="1"/>
  <c r="I5" i="1"/>
  <c r="I6" i="1"/>
  <c r="I7" i="1"/>
  <c r="I8" i="1"/>
  <c r="I9" i="1"/>
  <c r="I10" i="1"/>
  <c r="I11" i="1"/>
  <c r="I12" i="1"/>
  <c r="I13" i="1"/>
  <c r="I14" i="1"/>
  <c r="I15" i="1"/>
  <c r="I16" i="1"/>
  <c r="I17" i="1"/>
  <c r="I3" i="1"/>
  <c r="J3" i="1"/>
  <c r="J4" i="1"/>
  <c r="J5" i="1"/>
  <c r="J6" i="1"/>
  <c r="L6" i="1" s="1"/>
  <c r="J7" i="1"/>
  <c r="L7" i="1" s="1"/>
  <c r="J8" i="1"/>
  <c r="L8" i="1" s="1"/>
  <c r="J9" i="1"/>
  <c r="L9" i="1" s="1"/>
  <c r="J10" i="1"/>
  <c r="L10" i="1" s="1"/>
  <c r="J11" i="1"/>
  <c r="L11" i="1" s="1"/>
  <c r="J12" i="1"/>
  <c r="L12" i="1" s="1"/>
  <c r="J13" i="1"/>
  <c r="L13" i="1" s="1"/>
  <c r="J14" i="1"/>
  <c r="L14" i="1" s="1"/>
  <c r="J15" i="1"/>
  <c r="L15" i="1" s="1"/>
  <c r="J16" i="1"/>
  <c r="L16" i="1" s="1"/>
  <c r="J17" i="1"/>
  <c r="L17" i="1" s="1"/>
</calcChain>
</file>

<file path=xl/sharedStrings.xml><?xml version="1.0" encoding="utf-8"?>
<sst xmlns="http://schemas.openxmlformats.org/spreadsheetml/2006/main" count="284" uniqueCount="111">
  <si>
    <t>Name</t>
  </si>
  <si>
    <t>Physics</t>
  </si>
  <si>
    <t>Chemistry</t>
  </si>
  <si>
    <t>English</t>
  </si>
  <si>
    <t>Biology</t>
  </si>
  <si>
    <t>Sanskrit</t>
  </si>
  <si>
    <t>Rajat</t>
  </si>
  <si>
    <t>Virat</t>
  </si>
  <si>
    <t>Suresh</t>
  </si>
  <si>
    <t>Yuvraj</t>
  </si>
  <si>
    <t>Hardik</t>
  </si>
  <si>
    <t>Surya</t>
  </si>
  <si>
    <t>Shubh</t>
  </si>
  <si>
    <t>Ronak</t>
  </si>
  <si>
    <t>Vedant</t>
  </si>
  <si>
    <t>Meet</t>
  </si>
  <si>
    <t>Gaurav</t>
  </si>
  <si>
    <t>Sagar</t>
  </si>
  <si>
    <t>Jasmin</t>
  </si>
  <si>
    <t>Jenil</t>
  </si>
  <si>
    <t>Kartik</t>
  </si>
  <si>
    <t>MARKSHEET</t>
  </si>
  <si>
    <t>Date</t>
  </si>
  <si>
    <r>
      <rPr>
        <b/>
        <sz val="12"/>
        <color theme="1"/>
        <rFont val="Calibri"/>
        <family val="2"/>
        <scheme val="minor"/>
      </rPr>
      <t>Sr No</t>
    </r>
    <r>
      <rPr>
        <sz val="11"/>
        <color theme="1"/>
        <rFont val="Calibri"/>
        <family val="2"/>
        <scheme val="minor"/>
      </rPr>
      <t>.</t>
    </r>
  </si>
  <si>
    <t>Percantage</t>
  </si>
  <si>
    <t>Total</t>
  </si>
  <si>
    <t>Average</t>
  </si>
  <si>
    <t>Grade</t>
  </si>
  <si>
    <t>Column Line</t>
  </si>
  <si>
    <t>22/09/2025</t>
  </si>
  <si>
    <t>23/09/2024</t>
  </si>
  <si>
    <t>Sr No.</t>
  </si>
  <si>
    <t>City</t>
  </si>
  <si>
    <t>Gender</t>
  </si>
  <si>
    <t>Age</t>
  </si>
  <si>
    <t>Subject 1</t>
  </si>
  <si>
    <t>Subject 2</t>
  </si>
  <si>
    <t>Subject 3</t>
  </si>
  <si>
    <t>Subject 4</t>
  </si>
  <si>
    <t>Subject 5</t>
  </si>
  <si>
    <t>Greade</t>
  </si>
  <si>
    <t>Male</t>
  </si>
  <si>
    <t>Row Labels</t>
  </si>
  <si>
    <t>Grand Total</t>
  </si>
  <si>
    <t>Gender Wise Student Count</t>
  </si>
  <si>
    <t>Female</t>
  </si>
  <si>
    <t>SparkLines</t>
  </si>
  <si>
    <t>Columns</t>
  </si>
  <si>
    <t>Bhavanagr</t>
  </si>
  <si>
    <t>Bhavanagar</t>
  </si>
  <si>
    <t>Junagadh</t>
  </si>
  <si>
    <t>Ajkot</t>
  </si>
  <si>
    <t>Dubai</t>
  </si>
  <si>
    <t>Mumbai</t>
  </si>
  <si>
    <t>John Smith</t>
  </si>
  <si>
    <t>Emma Johnson</t>
  </si>
  <si>
    <t>Liam Brown</t>
  </si>
  <si>
    <t>Olivia Davis</t>
  </si>
  <si>
    <t>Noah Wilson</t>
  </si>
  <si>
    <t>Ava Martinez</t>
  </si>
  <si>
    <t>William Anderson</t>
  </si>
  <si>
    <t>Sophia Taylor</t>
  </si>
  <si>
    <t>James Thomas</t>
  </si>
  <si>
    <t>Isabella White</t>
  </si>
  <si>
    <t>Benjamin Harris</t>
  </si>
  <si>
    <t>Charlotte Martin</t>
  </si>
  <si>
    <t>Henry Thompson</t>
  </si>
  <si>
    <t>Amelia Garcia</t>
  </si>
  <si>
    <t>Alexander Clark</t>
  </si>
  <si>
    <t>Mia Rodriguez</t>
  </si>
  <si>
    <t>Michael Lewis</t>
  </si>
  <si>
    <t>Harper Walker</t>
  </si>
  <si>
    <t>Daniel Hall</t>
  </si>
  <si>
    <t>Evelyn Allen</t>
  </si>
  <si>
    <t>Matthew Young</t>
  </si>
  <si>
    <t>Abigail King</t>
  </si>
  <si>
    <t>Joseph Wright</t>
  </si>
  <si>
    <t>Ella Scott</t>
  </si>
  <si>
    <t>Samuel Green</t>
  </si>
  <si>
    <t>Grace Adams</t>
  </si>
  <si>
    <t>David Baker</t>
  </si>
  <si>
    <t>Scarlett Nelson</t>
  </si>
  <si>
    <t>Jackson Carter</t>
  </si>
  <si>
    <t>Victoria Perez</t>
  </si>
  <si>
    <t>Sebastian Murphy</t>
  </si>
  <si>
    <t>Lily Roberts</t>
  </si>
  <si>
    <t>Elijah Collins</t>
  </si>
  <si>
    <t>Zoe Stewart</t>
  </si>
  <si>
    <t>Lucas Rivera</t>
  </si>
  <si>
    <t>Hannah Morris</t>
  </si>
  <si>
    <t>Ethan Bell</t>
  </si>
  <si>
    <t>Natalie Cooper</t>
  </si>
  <si>
    <t>Christopher Reed</t>
  </si>
  <si>
    <t>Lucy Cook</t>
  </si>
  <si>
    <t>Andrew Bailey</t>
  </si>
  <si>
    <t>Stella Richardson</t>
  </si>
  <si>
    <t>Ryan Griffin</t>
  </si>
  <si>
    <t>Bella Kelly</t>
  </si>
  <si>
    <t>Joshua Hughes</t>
  </si>
  <si>
    <t>Aurora Foster</t>
  </si>
  <si>
    <t>Nathan Price</t>
  </si>
  <si>
    <t>Leah Bennett</t>
  </si>
  <si>
    <t>Caleb Patterson</t>
  </si>
  <si>
    <t>Layla Sanders</t>
  </si>
  <si>
    <t>Sum of Subject 1</t>
  </si>
  <si>
    <t>Sum of Subject 2</t>
  </si>
  <si>
    <t>Count of Gender</t>
  </si>
  <si>
    <t>Count of Name</t>
  </si>
  <si>
    <t xml:space="preserve">CITY WISE COUNT MALE / FEMALE PERSON </t>
  </si>
  <si>
    <t>PIVOT CHART NAME WITH MARKS</t>
  </si>
  <si>
    <t>Average of Percantage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</si>
</sst>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2"/>
      <color theme="1"/>
      <name val="Calibri"/>
      <family val="2"/>
      <scheme val="minor"/>
    </font>
    <font>
      <b/>
      <i/>
      <u/>
      <sz val="16"/>
      <color theme="4" tint="-0.249977111117893"/>
      <name val="Calibri"/>
      <family val="2"/>
      <scheme val="minor"/>
    </font>
    <font>
      <i/>
      <u/>
      <sz val="11"/>
      <color theme="1"/>
      <name val="Calibri"/>
      <family val="2"/>
      <scheme val="minor"/>
    </font>
    <font>
      <sz val="8"/>
      <name val="Calibri"/>
      <family val="2"/>
      <scheme val="minor"/>
    </font>
    <font>
      <b/>
      <u/>
      <sz val="12"/>
      <color theme="0"/>
      <name val="Calibri"/>
      <family val="2"/>
      <scheme val="minor"/>
    </font>
    <font>
      <sz val="16"/>
      <color theme="0"/>
      <name val="Century Gothic"/>
      <family val="2"/>
    </font>
    <font>
      <sz val="11"/>
      <color rgb="FFFFC000"/>
      <name val="Calibri"/>
      <family val="2"/>
      <scheme val="minor"/>
    </font>
  </fonts>
  <fills count="11">
    <fill>
      <patternFill patternType="none"/>
    </fill>
    <fill>
      <patternFill patternType="gray125"/>
    </fill>
    <fill>
      <patternFill patternType="solid">
        <fgColor theme="2" tint="-0.249977111117893"/>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0"/>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9" tint="-0.249977111117893"/>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0" fillId="0" borderId="1" xfId="0" applyBorder="1"/>
    <xf numFmtId="0" fontId="0" fillId="0" borderId="3" xfId="0" applyBorder="1"/>
    <xf numFmtId="1" fontId="0" fillId="0" borderId="3" xfId="0" applyNumberFormat="1" applyBorder="1"/>
    <xf numFmtId="1" fontId="0" fillId="0" borderId="1" xfId="0" applyNumberFormat="1" applyBorder="1"/>
    <xf numFmtId="14" fontId="0" fillId="0" borderId="1" xfId="0" applyNumberFormat="1" applyBorder="1"/>
    <xf numFmtId="9" fontId="0" fillId="0" borderId="1" xfId="1" applyFont="1" applyBorder="1"/>
    <xf numFmtId="0" fontId="0" fillId="2" borderId="1" xfId="0" applyFill="1" applyBorder="1" applyAlignment="1"/>
    <xf numFmtId="0" fontId="2" fillId="2" borderId="1" xfId="0" applyFont="1" applyFill="1" applyBorder="1" applyAlignment="1"/>
    <xf numFmtId="0" fontId="0" fillId="3" borderId="1" xfId="0" applyFill="1" applyBorder="1"/>
    <xf numFmtId="1" fontId="0" fillId="3" borderId="1" xfId="0" applyNumberFormat="1" applyFill="1" applyBorder="1"/>
    <xf numFmtId="1" fontId="0" fillId="3" borderId="3" xfId="0" applyNumberFormat="1" applyFill="1" applyBorder="1"/>
    <xf numFmtId="9" fontId="0" fillId="3" borderId="1" xfId="1" applyFont="1" applyFill="1" applyBorder="1"/>
    <xf numFmtId="14" fontId="0" fillId="3" borderId="1" xfId="0" applyNumberFormat="1" applyFill="1" applyBorder="1"/>
    <xf numFmtId="0" fontId="0" fillId="2" borderId="1" xfId="0" applyFill="1" applyBorder="1"/>
    <xf numFmtId="1" fontId="0" fillId="2" borderId="1" xfId="0" applyNumberFormat="1" applyFill="1" applyBorder="1"/>
    <xf numFmtId="1" fontId="0" fillId="2" borderId="3" xfId="0" applyNumberFormat="1" applyFill="1" applyBorder="1"/>
    <xf numFmtId="9" fontId="0" fillId="2" borderId="1" xfId="1" applyFont="1" applyFill="1" applyBorder="1"/>
    <xf numFmtId="14" fontId="0" fillId="2" borderId="1" xfId="0" applyNumberFormat="1" applyFill="1" applyBorder="1"/>
    <xf numFmtId="0" fontId="2" fillId="2" borderId="1" xfId="0" applyFont="1" applyFill="1" applyBorder="1" applyAlignment="1">
      <alignment wrapText="1"/>
    </xf>
    <xf numFmtId="14" fontId="0" fillId="5" borderId="1" xfId="0" applyNumberFormat="1" applyFill="1" applyBorder="1"/>
    <xf numFmtId="10" fontId="0" fillId="0" borderId="0" xfId="1" applyNumberFormat="1" applyFont="1"/>
    <xf numFmtId="0" fontId="6" fillId="6" borderId="0" xfId="0" applyFont="1" applyFill="1"/>
    <xf numFmtId="0" fontId="0" fillId="7" borderId="0" xfId="0" applyFill="1"/>
    <xf numFmtId="10" fontId="0" fillId="7" borderId="0" xfId="1" applyNumberFormat="1" applyFont="1" applyFill="1"/>
    <xf numFmtId="0" fontId="0" fillId="0" borderId="0" xfId="0" pivotButton="1"/>
    <xf numFmtId="0" fontId="0" fillId="0" borderId="0" xfId="0" applyAlignment="1">
      <alignment horizontal="left"/>
    </xf>
    <xf numFmtId="0" fontId="0" fillId="0" borderId="0" xfId="0" applyNumberFormat="1"/>
    <xf numFmtId="0" fontId="7" fillId="8" borderId="0" xfId="0" applyFont="1" applyFill="1"/>
    <xf numFmtId="0" fontId="0" fillId="10" borderId="0" xfId="0" applyFill="1"/>
    <xf numFmtId="0" fontId="0" fillId="10" borderId="0" xfId="0" applyNumberFormat="1" applyFill="1"/>
    <xf numFmtId="0" fontId="0" fillId="10" borderId="0" xfId="0" applyFill="1" applyAlignment="1">
      <alignment horizontal="left"/>
    </xf>
    <xf numFmtId="0" fontId="8" fillId="9" borderId="0" xfId="0" applyFont="1" applyFill="1"/>
    <xf numFmtId="0" fontId="3" fillId="4" borderId="2" xfId="0" applyFont="1" applyFill="1" applyBorder="1" applyAlignment="1">
      <alignment horizontal="center"/>
    </xf>
    <xf numFmtId="0" fontId="4" fillId="4" borderId="4" xfId="0" applyFont="1" applyFill="1" applyBorder="1" applyAlignment="1">
      <alignment horizontal="center"/>
    </xf>
  </cellXfs>
  <cellStyles count="2">
    <cellStyle name="Normal" xfId="0" builtinId="0"/>
    <cellStyle name="Percent" xfId="1" builtinId="5"/>
  </cellStyles>
  <dxfs count="50">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strike val="0"/>
        <condense val="0"/>
        <extend val="0"/>
        <outline val="0"/>
        <shadow val="0"/>
        <u/>
        <vertAlign val="baseline"/>
        <sz val="12"/>
        <color theme="0"/>
        <name val="Calibri"/>
        <family val="2"/>
        <scheme val="minor"/>
      </font>
      <fill>
        <patternFill patternType="solid">
          <fgColor indexed="64"/>
          <bgColor theme="4" tint="-0.249977111117893"/>
        </patternFill>
      </fill>
    </dxf>
    <dxf>
      <fill>
        <patternFill patternType="solid">
          <fgColor indexed="64"/>
          <bgColor theme="4" tint="0.59999389629810485"/>
        </patternFill>
      </fill>
    </dxf>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fgColor indexed="64"/>
          <bgColor theme="4" tint="0.59999389629810485"/>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rgb="FFFFC000"/>
        </patternFill>
      </fill>
    </dxf>
    <dxf>
      <fill>
        <patternFill patternType="solid">
          <bgColor rgb="FF00B050"/>
        </patternFill>
      </fill>
    </dxf>
  </dxfs>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accent2"/>
                </a:solidFill>
                <a:latin typeface="+mn-lt"/>
                <a:ea typeface="+mn-ea"/>
                <a:cs typeface="+mn-cs"/>
              </a:defRPr>
            </a:pPr>
            <a:r>
              <a:rPr lang="en-US"/>
              <a:t>MARKSHEET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accent2"/>
              </a:solidFill>
              <a:latin typeface="+mn-lt"/>
              <a:ea typeface="+mn-ea"/>
              <a:cs typeface="+mn-cs"/>
            </a:defRPr>
          </a:pPr>
          <a:endParaRPr lang="en-US"/>
        </a:p>
      </c:txPr>
    </c:title>
    <c:autoTitleDeleted val="0"/>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Sheet1!$C$3:$C$17</c:f>
              <c:numCache>
                <c:formatCode>0</c:formatCode>
                <c:ptCount val="15"/>
                <c:pt idx="0">
                  <c:v>49</c:v>
                </c:pt>
                <c:pt idx="1">
                  <c:v>53</c:v>
                </c:pt>
                <c:pt idx="2">
                  <c:v>36</c:v>
                </c:pt>
                <c:pt idx="3">
                  <c:v>96</c:v>
                </c:pt>
                <c:pt idx="4">
                  <c:v>43</c:v>
                </c:pt>
                <c:pt idx="5">
                  <c:v>37</c:v>
                </c:pt>
                <c:pt idx="6">
                  <c:v>59</c:v>
                </c:pt>
                <c:pt idx="7">
                  <c:v>95</c:v>
                </c:pt>
                <c:pt idx="8">
                  <c:v>91</c:v>
                </c:pt>
                <c:pt idx="9">
                  <c:v>98</c:v>
                </c:pt>
                <c:pt idx="10">
                  <c:v>91</c:v>
                </c:pt>
                <c:pt idx="11">
                  <c:v>56</c:v>
                </c:pt>
                <c:pt idx="12">
                  <c:v>90</c:v>
                </c:pt>
                <c:pt idx="13">
                  <c:v>75</c:v>
                </c:pt>
                <c:pt idx="14">
                  <c:v>89</c:v>
                </c:pt>
              </c:numCache>
            </c:numRef>
          </c:val>
          <c:extLst>
            <c:ext xmlns:c16="http://schemas.microsoft.com/office/drawing/2014/chart" uri="{C3380CC4-5D6E-409C-BE32-E72D297353CC}">
              <c16:uniqueId val="{00000000-A187-4760-BA50-DE8F1EF82EA8}"/>
            </c:ext>
          </c:extLst>
        </c:ser>
        <c:ser>
          <c:idx val="1"/>
          <c:order val="1"/>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Sheet1!$D$3:$D$17</c:f>
              <c:numCache>
                <c:formatCode>0</c:formatCode>
                <c:ptCount val="15"/>
                <c:pt idx="0">
                  <c:v>66</c:v>
                </c:pt>
                <c:pt idx="1">
                  <c:v>49</c:v>
                </c:pt>
                <c:pt idx="2">
                  <c:v>55</c:v>
                </c:pt>
                <c:pt idx="3">
                  <c:v>74</c:v>
                </c:pt>
                <c:pt idx="4">
                  <c:v>84</c:v>
                </c:pt>
                <c:pt idx="5">
                  <c:v>57</c:v>
                </c:pt>
                <c:pt idx="6">
                  <c:v>83</c:v>
                </c:pt>
                <c:pt idx="7">
                  <c:v>52</c:v>
                </c:pt>
                <c:pt idx="8">
                  <c:v>93</c:v>
                </c:pt>
                <c:pt idx="9">
                  <c:v>72</c:v>
                </c:pt>
                <c:pt idx="10">
                  <c:v>51</c:v>
                </c:pt>
                <c:pt idx="11">
                  <c:v>93</c:v>
                </c:pt>
                <c:pt idx="12">
                  <c:v>80</c:v>
                </c:pt>
                <c:pt idx="13">
                  <c:v>98</c:v>
                </c:pt>
                <c:pt idx="14">
                  <c:v>56</c:v>
                </c:pt>
              </c:numCache>
            </c:numRef>
          </c:val>
          <c:extLst>
            <c:ext xmlns:c16="http://schemas.microsoft.com/office/drawing/2014/chart" uri="{C3380CC4-5D6E-409C-BE32-E72D297353CC}">
              <c16:uniqueId val="{00000001-A187-4760-BA50-DE8F1EF82EA8}"/>
            </c:ext>
          </c:extLst>
        </c:ser>
        <c:ser>
          <c:idx val="2"/>
          <c:order val="2"/>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Sheet1!$E$3:$E$17</c:f>
              <c:numCache>
                <c:formatCode>0</c:formatCode>
                <c:ptCount val="15"/>
                <c:pt idx="0">
                  <c:v>82</c:v>
                </c:pt>
                <c:pt idx="1">
                  <c:v>33</c:v>
                </c:pt>
                <c:pt idx="2">
                  <c:v>99</c:v>
                </c:pt>
                <c:pt idx="3">
                  <c:v>97</c:v>
                </c:pt>
                <c:pt idx="4">
                  <c:v>40</c:v>
                </c:pt>
                <c:pt idx="5">
                  <c:v>62</c:v>
                </c:pt>
                <c:pt idx="6">
                  <c:v>92</c:v>
                </c:pt>
                <c:pt idx="7">
                  <c:v>92</c:v>
                </c:pt>
                <c:pt idx="8">
                  <c:v>85</c:v>
                </c:pt>
                <c:pt idx="9">
                  <c:v>70</c:v>
                </c:pt>
                <c:pt idx="10">
                  <c:v>86</c:v>
                </c:pt>
                <c:pt idx="11">
                  <c:v>41</c:v>
                </c:pt>
                <c:pt idx="12">
                  <c:v>85</c:v>
                </c:pt>
                <c:pt idx="13">
                  <c:v>35</c:v>
                </c:pt>
                <c:pt idx="14">
                  <c:v>52</c:v>
                </c:pt>
              </c:numCache>
            </c:numRef>
          </c:val>
          <c:extLst>
            <c:ext xmlns:c16="http://schemas.microsoft.com/office/drawing/2014/chart" uri="{C3380CC4-5D6E-409C-BE32-E72D297353CC}">
              <c16:uniqueId val="{00000002-A187-4760-BA50-DE8F1EF82EA8}"/>
            </c:ext>
          </c:extLst>
        </c:ser>
        <c:ser>
          <c:idx val="3"/>
          <c:order val="3"/>
          <c:spPr>
            <a:pattFill prst="ltDnDiag">
              <a:fgClr>
                <a:schemeClr val="accent6">
                  <a:lumMod val="60000"/>
                </a:schemeClr>
              </a:fgClr>
              <a:bgClr>
                <a:schemeClr val="accent6">
                  <a:lumMod val="60000"/>
                  <a:lumMod val="20000"/>
                  <a:lumOff val="80000"/>
                </a:schemeClr>
              </a:bgClr>
            </a:pattFill>
            <a:ln>
              <a:solidFill>
                <a:schemeClr val="accent6">
                  <a:lumMod val="60000"/>
                </a:schemeClr>
              </a:solidFill>
            </a:ln>
            <a:effectLst/>
            <a:sp3d>
              <a:contourClr>
                <a:schemeClr val="accent6">
                  <a:lumMod val="60000"/>
                </a:schemeClr>
              </a:contourClr>
            </a:sp3d>
          </c:spPr>
          <c:invertIfNegative val="0"/>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Sheet1!$F$3:$F$17</c:f>
              <c:numCache>
                <c:formatCode>0</c:formatCode>
                <c:ptCount val="15"/>
                <c:pt idx="0">
                  <c:v>94</c:v>
                </c:pt>
                <c:pt idx="1">
                  <c:v>62</c:v>
                </c:pt>
                <c:pt idx="2">
                  <c:v>76</c:v>
                </c:pt>
                <c:pt idx="3">
                  <c:v>40</c:v>
                </c:pt>
                <c:pt idx="4">
                  <c:v>70</c:v>
                </c:pt>
                <c:pt idx="5">
                  <c:v>92</c:v>
                </c:pt>
                <c:pt idx="6">
                  <c:v>50</c:v>
                </c:pt>
                <c:pt idx="7">
                  <c:v>79</c:v>
                </c:pt>
                <c:pt idx="8">
                  <c:v>72</c:v>
                </c:pt>
                <c:pt idx="9">
                  <c:v>35</c:v>
                </c:pt>
                <c:pt idx="10">
                  <c:v>63</c:v>
                </c:pt>
                <c:pt idx="11">
                  <c:v>49</c:v>
                </c:pt>
                <c:pt idx="12">
                  <c:v>40</c:v>
                </c:pt>
                <c:pt idx="13">
                  <c:v>92</c:v>
                </c:pt>
                <c:pt idx="14">
                  <c:v>91</c:v>
                </c:pt>
              </c:numCache>
            </c:numRef>
          </c:val>
          <c:extLst>
            <c:ext xmlns:c16="http://schemas.microsoft.com/office/drawing/2014/chart" uri="{C3380CC4-5D6E-409C-BE32-E72D297353CC}">
              <c16:uniqueId val="{00000003-A187-4760-BA50-DE8F1EF82EA8}"/>
            </c:ext>
          </c:extLst>
        </c:ser>
        <c:ser>
          <c:idx val="4"/>
          <c:order val="4"/>
          <c:spPr>
            <a:pattFill prst="ltDnDiag">
              <a:fgClr>
                <a:schemeClr val="accent5">
                  <a:lumMod val="60000"/>
                </a:schemeClr>
              </a:fgClr>
              <a:bgClr>
                <a:schemeClr val="accent5">
                  <a:lumMod val="60000"/>
                  <a:lumMod val="20000"/>
                  <a:lumOff val="80000"/>
                </a:schemeClr>
              </a:bgClr>
            </a:pattFill>
            <a:ln>
              <a:solidFill>
                <a:schemeClr val="accent5">
                  <a:lumMod val="60000"/>
                </a:schemeClr>
              </a:solidFill>
            </a:ln>
            <a:effectLst/>
            <a:sp3d>
              <a:contourClr>
                <a:schemeClr val="accent5">
                  <a:lumMod val="60000"/>
                </a:schemeClr>
              </a:contourClr>
            </a:sp3d>
          </c:spPr>
          <c:invertIfNegative val="0"/>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Sheet1!$G$3:$G$17</c:f>
              <c:numCache>
                <c:formatCode>0</c:formatCode>
                <c:ptCount val="15"/>
                <c:pt idx="0">
                  <c:v>62</c:v>
                </c:pt>
                <c:pt idx="1">
                  <c:v>49</c:v>
                </c:pt>
                <c:pt idx="2">
                  <c:v>83</c:v>
                </c:pt>
                <c:pt idx="3">
                  <c:v>35</c:v>
                </c:pt>
                <c:pt idx="4">
                  <c:v>79</c:v>
                </c:pt>
                <c:pt idx="5">
                  <c:v>70</c:v>
                </c:pt>
                <c:pt idx="6">
                  <c:v>66</c:v>
                </c:pt>
                <c:pt idx="7">
                  <c:v>89</c:v>
                </c:pt>
                <c:pt idx="8">
                  <c:v>78</c:v>
                </c:pt>
                <c:pt idx="9">
                  <c:v>88</c:v>
                </c:pt>
                <c:pt idx="10">
                  <c:v>95</c:v>
                </c:pt>
                <c:pt idx="11">
                  <c:v>97</c:v>
                </c:pt>
                <c:pt idx="12">
                  <c:v>84</c:v>
                </c:pt>
                <c:pt idx="13">
                  <c:v>91</c:v>
                </c:pt>
                <c:pt idx="14">
                  <c:v>82</c:v>
                </c:pt>
              </c:numCache>
            </c:numRef>
          </c:val>
          <c:extLst>
            <c:ext xmlns:c16="http://schemas.microsoft.com/office/drawing/2014/chart" uri="{C3380CC4-5D6E-409C-BE32-E72D297353CC}">
              <c16:uniqueId val="{00000004-A187-4760-BA50-DE8F1EF82EA8}"/>
            </c:ext>
          </c:extLst>
        </c:ser>
        <c:dLbls>
          <c:showLegendKey val="0"/>
          <c:showVal val="0"/>
          <c:showCatName val="0"/>
          <c:showSerName val="0"/>
          <c:showPercent val="0"/>
          <c:showBubbleSize val="0"/>
        </c:dLbls>
        <c:gapWidth val="150"/>
        <c:shape val="box"/>
        <c:axId val="403107168"/>
        <c:axId val="403108808"/>
        <c:axId val="0"/>
      </c:bar3DChart>
      <c:catAx>
        <c:axId val="40310716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403108808"/>
        <c:crosses val="autoZero"/>
        <c:auto val="1"/>
        <c:lblAlgn val="ctr"/>
        <c:lblOffset val="100"/>
        <c:noMultiLvlLbl val="0"/>
      </c:catAx>
      <c:valAx>
        <c:axId val="403108808"/>
        <c:scaling>
          <c:orientation val="minMax"/>
        </c:scaling>
        <c:delete val="0"/>
        <c:axPos val="l"/>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4031071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accent2"/>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MarkSheet</a:t>
            </a:r>
          </a:p>
        </c:rich>
      </c:tx>
      <c:layout>
        <c:manualLayout>
          <c:xMode val="edge"/>
          <c:yMode val="edge"/>
          <c:x val="0.4055344031363168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19-456E-B981-729DC83E9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19-456E-B981-729DC83E9D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19-456E-B981-729DC83E9D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19-456E-B981-729DC83E9D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19-456E-B981-729DC83E9D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119-456E-B981-729DC83E9D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119-456E-B981-729DC83E9D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119-456E-B981-729DC83E9D1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119-456E-B981-729DC83E9D1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119-456E-B981-729DC83E9D1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119-456E-B981-729DC83E9D1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119-456E-B981-729DC83E9D1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119-456E-B981-729DC83E9D1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119-456E-B981-729DC83E9D1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119-456E-B981-729DC83E9D1E}"/>
              </c:ext>
            </c:extLst>
          </c:dPt>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Sheet1!$C$3:$C$17</c:f>
              <c:numCache>
                <c:formatCode>0</c:formatCode>
                <c:ptCount val="15"/>
                <c:pt idx="0">
                  <c:v>49</c:v>
                </c:pt>
                <c:pt idx="1">
                  <c:v>53</c:v>
                </c:pt>
                <c:pt idx="2">
                  <c:v>36</c:v>
                </c:pt>
                <c:pt idx="3">
                  <c:v>96</c:v>
                </c:pt>
                <c:pt idx="4">
                  <c:v>43</c:v>
                </c:pt>
                <c:pt idx="5">
                  <c:v>37</c:v>
                </c:pt>
                <c:pt idx="6">
                  <c:v>59</c:v>
                </c:pt>
                <c:pt idx="7">
                  <c:v>95</c:v>
                </c:pt>
                <c:pt idx="8">
                  <c:v>91</c:v>
                </c:pt>
                <c:pt idx="9">
                  <c:v>98</c:v>
                </c:pt>
                <c:pt idx="10">
                  <c:v>91</c:v>
                </c:pt>
                <c:pt idx="11">
                  <c:v>56</c:v>
                </c:pt>
                <c:pt idx="12">
                  <c:v>90</c:v>
                </c:pt>
                <c:pt idx="13">
                  <c:v>75</c:v>
                </c:pt>
                <c:pt idx="14">
                  <c:v>89</c:v>
                </c:pt>
              </c:numCache>
            </c:numRef>
          </c:val>
          <c:extLst>
            <c:ext xmlns:c16="http://schemas.microsoft.com/office/drawing/2014/chart" uri="{C3380CC4-5D6E-409C-BE32-E72D297353CC}">
              <c16:uniqueId val="{00000000-FBAF-4D66-88E3-E901225D61B9}"/>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F-A119-456E-B981-729DC83E9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1-A119-456E-B981-729DC83E9D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3-A119-456E-B981-729DC83E9D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5-A119-456E-B981-729DC83E9D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7-A119-456E-B981-729DC83E9D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9-A119-456E-B981-729DC83E9D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B-A119-456E-B981-729DC83E9D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D-A119-456E-B981-729DC83E9D1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F-A119-456E-B981-729DC83E9D1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1-A119-456E-B981-729DC83E9D1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3-A119-456E-B981-729DC83E9D1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5-A119-456E-B981-729DC83E9D1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7-A119-456E-B981-729DC83E9D1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9-A119-456E-B981-729DC83E9D1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3B-A119-456E-B981-729DC83E9D1E}"/>
              </c:ext>
            </c:extLst>
          </c:dPt>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Sheet1!$D$3:$D$17</c:f>
              <c:numCache>
                <c:formatCode>0</c:formatCode>
                <c:ptCount val="15"/>
                <c:pt idx="0">
                  <c:v>66</c:v>
                </c:pt>
                <c:pt idx="1">
                  <c:v>49</c:v>
                </c:pt>
                <c:pt idx="2">
                  <c:v>55</c:v>
                </c:pt>
                <c:pt idx="3">
                  <c:v>74</c:v>
                </c:pt>
                <c:pt idx="4">
                  <c:v>84</c:v>
                </c:pt>
                <c:pt idx="5">
                  <c:v>57</c:v>
                </c:pt>
                <c:pt idx="6">
                  <c:v>83</c:v>
                </c:pt>
                <c:pt idx="7">
                  <c:v>52</c:v>
                </c:pt>
                <c:pt idx="8">
                  <c:v>93</c:v>
                </c:pt>
                <c:pt idx="9">
                  <c:v>72</c:v>
                </c:pt>
                <c:pt idx="10">
                  <c:v>51</c:v>
                </c:pt>
                <c:pt idx="11">
                  <c:v>93</c:v>
                </c:pt>
                <c:pt idx="12">
                  <c:v>80</c:v>
                </c:pt>
                <c:pt idx="13">
                  <c:v>98</c:v>
                </c:pt>
                <c:pt idx="14">
                  <c:v>56</c:v>
                </c:pt>
              </c:numCache>
            </c:numRef>
          </c:val>
          <c:extLst>
            <c:ext xmlns:c16="http://schemas.microsoft.com/office/drawing/2014/chart" uri="{C3380CC4-5D6E-409C-BE32-E72D297353CC}">
              <c16:uniqueId val="{00000001-FBAF-4D66-88E3-E901225D61B9}"/>
            </c:ext>
          </c:extLst>
        </c:ser>
        <c:ser>
          <c:idx val="2"/>
          <c:order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3D-A119-456E-B981-729DC83E9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F-A119-456E-B981-729DC83E9D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1-A119-456E-B981-729DC83E9D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3-A119-456E-B981-729DC83E9D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5-A119-456E-B981-729DC83E9D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7-A119-456E-B981-729DC83E9D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9-A119-456E-B981-729DC83E9D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B-A119-456E-B981-729DC83E9D1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D-A119-456E-B981-729DC83E9D1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F-A119-456E-B981-729DC83E9D1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1-A119-456E-B981-729DC83E9D1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3-A119-456E-B981-729DC83E9D1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5-A119-456E-B981-729DC83E9D1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7-A119-456E-B981-729DC83E9D1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9-A119-456E-B981-729DC83E9D1E}"/>
              </c:ext>
            </c:extLst>
          </c:dPt>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Sheet1!$E$3:$E$17</c:f>
              <c:numCache>
                <c:formatCode>0</c:formatCode>
                <c:ptCount val="15"/>
                <c:pt idx="0">
                  <c:v>82</c:v>
                </c:pt>
                <c:pt idx="1">
                  <c:v>33</c:v>
                </c:pt>
                <c:pt idx="2">
                  <c:v>99</c:v>
                </c:pt>
                <c:pt idx="3">
                  <c:v>97</c:v>
                </c:pt>
                <c:pt idx="4">
                  <c:v>40</c:v>
                </c:pt>
                <c:pt idx="5">
                  <c:v>62</c:v>
                </c:pt>
                <c:pt idx="6">
                  <c:v>92</c:v>
                </c:pt>
                <c:pt idx="7">
                  <c:v>92</c:v>
                </c:pt>
                <c:pt idx="8">
                  <c:v>85</c:v>
                </c:pt>
                <c:pt idx="9">
                  <c:v>70</c:v>
                </c:pt>
                <c:pt idx="10">
                  <c:v>86</c:v>
                </c:pt>
                <c:pt idx="11">
                  <c:v>41</c:v>
                </c:pt>
                <c:pt idx="12">
                  <c:v>85</c:v>
                </c:pt>
                <c:pt idx="13">
                  <c:v>35</c:v>
                </c:pt>
                <c:pt idx="14">
                  <c:v>52</c:v>
                </c:pt>
              </c:numCache>
            </c:numRef>
          </c:val>
          <c:extLst>
            <c:ext xmlns:c16="http://schemas.microsoft.com/office/drawing/2014/chart" uri="{C3380CC4-5D6E-409C-BE32-E72D297353CC}">
              <c16:uniqueId val="{00000002-FBAF-4D66-88E3-E901225D61B9}"/>
            </c:ext>
          </c:extLst>
        </c:ser>
        <c:ser>
          <c:idx val="3"/>
          <c:order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5B-A119-456E-B981-729DC83E9D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D-A119-456E-B981-729DC83E9D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F-A119-456E-B981-729DC83E9D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61-A119-456E-B981-729DC83E9D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63-A119-456E-B981-729DC83E9D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65-A119-456E-B981-729DC83E9D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67-A119-456E-B981-729DC83E9D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69-A119-456E-B981-729DC83E9D1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6B-A119-456E-B981-729DC83E9D1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D-A119-456E-B981-729DC83E9D1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F-A119-456E-B981-729DC83E9D1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1-A119-456E-B981-729DC83E9D1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3-A119-456E-B981-729DC83E9D1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75-A119-456E-B981-729DC83E9D1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7-A119-456E-B981-729DC83E9D1E}"/>
              </c:ext>
            </c:extLst>
          </c:dPt>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Sheet1!$F$3:$F$17</c:f>
              <c:numCache>
                <c:formatCode>0</c:formatCode>
                <c:ptCount val="15"/>
                <c:pt idx="0">
                  <c:v>94</c:v>
                </c:pt>
                <c:pt idx="1">
                  <c:v>62</c:v>
                </c:pt>
                <c:pt idx="2">
                  <c:v>76</c:v>
                </c:pt>
                <c:pt idx="3">
                  <c:v>40</c:v>
                </c:pt>
                <c:pt idx="4">
                  <c:v>70</c:v>
                </c:pt>
                <c:pt idx="5">
                  <c:v>92</c:v>
                </c:pt>
                <c:pt idx="6">
                  <c:v>50</c:v>
                </c:pt>
                <c:pt idx="7">
                  <c:v>79</c:v>
                </c:pt>
                <c:pt idx="8">
                  <c:v>72</c:v>
                </c:pt>
                <c:pt idx="9">
                  <c:v>35</c:v>
                </c:pt>
                <c:pt idx="10">
                  <c:v>63</c:v>
                </c:pt>
                <c:pt idx="11">
                  <c:v>49</c:v>
                </c:pt>
                <c:pt idx="12">
                  <c:v>40</c:v>
                </c:pt>
                <c:pt idx="13">
                  <c:v>92</c:v>
                </c:pt>
                <c:pt idx="14">
                  <c:v>91</c:v>
                </c:pt>
              </c:numCache>
            </c:numRef>
          </c:val>
          <c:extLst>
            <c:ext xmlns:c16="http://schemas.microsoft.com/office/drawing/2014/chart" uri="{C3380CC4-5D6E-409C-BE32-E72D297353CC}">
              <c16:uniqueId val="{00000003-FBAF-4D66-88E3-E901225D61B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w="3175">
                  <a:solidFill>
                    <a:schemeClr val="accent6">
                      <a:lumMod val="75000"/>
                    </a:schemeClr>
                  </a:solidFill>
                </a:ln>
                <a:solidFill>
                  <a:schemeClr val="accent1"/>
                </a:solidFill>
                <a:latin typeface="+mn-lt"/>
                <a:ea typeface="+mn-ea"/>
                <a:cs typeface="+mn-cs"/>
              </a:defRPr>
            </a:pPr>
            <a:r>
              <a:rPr lang="en-US"/>
              <a:t>MARKSHEET</a:t>
            </a:r>
          </a:p>
        </c:rich>
      </c:tx>
      <c:layout>
        <c:manualLayout>
          <c:xMode val="edge"/>
          <c:yMode val="edge"/>
          <c:x val="0.434337132979150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ln w="3175">
                <a:solidFill>
                  <a:schemeClr val="accent6">
                    <a:lumMod val="75000"/>
                  </a:schemeClr>
                </a:solidFill>
              </a:ln>
              <a:solidFill>
                <a:schemeClr val="accent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Sheet1!$C$3:$C$17</c:f>
              <c:numCache>
                <c:formatCode>0</c:formatCode>
                <c:ptCount val="15"/>
                <c:pt idx="0">
                  <c:v>49</c:v>
                </c:pt>
                <c:pt idx="1">
                  <c:v>53</c:v>
                </c:pt>
                <c:pt idx="2">
                  <c:v>36</c:v>
                </c:pt>
                <c:pt idx="3">
                  <c:v>96</c:v>
                </c:pt>
                <c:pt idx="4">
                  <c:v>43</c:v>
                </c:pt>
                <c:pt idx="5">
                  <c:v>37</c:v>
                </c:pt>
                <c:pt idx="6">
                  <c:v>59</c:v>
                </c:pt>
                <c:pt idx="7">
                  <c:v>95</c:v>
                </c:pt>
                <c:pt idx="8">
                  <c:v>91</c:v>
                </c:pt>
                <c:pt idx="9">
                  <c:v>98</c:v>
                </c:pt>
                <c:pt idx="10">
                  <c:v>91</c:v>
                </c:pt>
                <c:pt idx="11">
                  <c:v>56</c:v>
                </c:pt>
                <c:pt idx="12">
                  <c:v>90</c:v>
                </c:pt>
                <c:pt idx="13">
                  <c:v>75</c:v>
                </c:pt>
                <c:pt idx="14">
                  <c:v>89</c:v>
                </c:pt>
              </c:numCache>
            </c:numRef>
          </c:val>
          <c:smooth val="0"/>
          <c:extLst>
            <c:ext xmlns:c16="http://schemas.microsoft.com/office/drawing/2014/chart" uri="{C3380CC4-5D6E-409C-BE32-E72D297353CC}">
              <c16:uniqueId val="{00000000-994F-49E5-A63B-2D347B8B7C60}"/>
            </c:ext>
          </c:extLst>
        </c:ser>
        <c:ser>
          <c:idx val="1"/>
          <c:order val="1"/>
          <c:spPr>
            <a:ln w="28575" cap="rnd">
              <a:solidFill>
                <a:schemeClr val="accent2"/>
              </a:solidFill>
              <a:round/>
            </a:ln>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Sheet1!$D$3:$D$17</c:f>
              <c:numCache>
                <c:formatCode>0</c:formatCode>
                <c:ptCount val="15"/>
                <c:pt idx="0">
                  <c:v>66</c:v>
                </c:pt>
                <c:pt idx="1">
                  <c:v>49</c:v>
                </c:pt>
                <c:pt idx="2">
                  <c:v>55</c:v>
                </c:pt>
                <c:pt idx="3">
                  <c:v>74</c:v>
                </c:pt>
                <c:pt idx="4">
                  <c:v>84</c:v>
                </c:pt>
                <c:pt idx="5">
                  <c:v>57</c:v>
                </c:pt>
                <c:pt idx="6">
                  <c:v>83</c:v>
                </c:pt>
                <c:pt idx="7">
                  <c:v>52</c:v>
                </c:pt>
                <c:pt idx="8">
                  <c:v>93</c:v>
                </c:pt>
                <c:pt idx="9">
                  <c:v>72</c:v>
                </c:pt>
                <c:pt idx="10">
                  <c:v>51</c:v>
                </c:pt>
                <c:pt idx="11">
                  <c:v>93</c:v>
                </c:pt>
                <c:pt idx="12">
                  <c:v>80</c:v>
                </c:pt>
                <c:pt idx="13">
                  <c:v>98</c:v>
                </c:pt>
                <c:pt idx="14">
                  <c:v>56</c:v>
                </c:pt>
              </c:numCache>
            </c:numRef>
          </c:val>
          <c:smooth val="0"/>
          <c:extLst>
            <c:ext xmlns:c16="http://schemas.microsoft.com/office/drawing/2014/chart" uri="{C3380CC4-5D6E-409C-BE32-E72D297353CC}">
              <c16:uniqueId val="{00000001-994F-49E5-A63B-2D347B8B7C60}"/>
            </c:ext>
          </c:extLst>
        </c:ser>
        <c:ser>
          <c:idx val="2"/>
          <c:order val="2"/>
          <c:spPr>
            <a:ln w="28575" cap="rnd">
              <a:solidFill>
                <a:schemeClr val="accent3"/>
              </a:solidFill>
              <a:round/>
            </a:ln>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Sheet1!$E$3:$E$17</c:f>
              <c:numCache>
                <c:formatCode>0</c:formatCode>
                <c:ptCount val="15"/>
                <c:pt idx="0">
                  <c:v>82</c:v>
                </c:pt>
                <c:pt idx="1">
                  <c:v>33</c:v>
                </c:pt>
                <c:pt idx="2">
                  <c:v>99</c:v>
                </c:pt>
                <c:pt idx="3">
                  <c:v>97</c:v>
                </c:pt>
                <c:pt idx="4">
                  <c:v>40</c:v>
                </c:pt>
                <c:pt idx="5">
                  <c:v>62</c:v>
                </c:pt>
                <c:pt idx="6">
                  <c:v>92</c:v>
                </c:pt>
                <c:pt idx="7">
                  <c:v>92</c:v>
                </c:pt>
                <c:pt idx="8">
                  <c:v>85</c:v>
                </c:pt>
                <c:pt idx="9">
                  <c:v>70</c:v>
                </c:pt>
                <c:pt idx="10">
                  <c:v>86</c:v>
                </c:pt>
                <c:pt idx="11">
                  <c:v>41</c:v>
                </c:pt>
                <c:pt idx="12">
                  <c:v>85</c:v>
                </c:pt>
                <c:pt idx="13">
                  <c:v>35</c:v>
                </c:pt>
                <c:pt idx="14">
                  <c:v>52</c:v>
                </c:pt>
              </c:numCache>
            </c:numRef>
          </c:val>
          <c:smooth val="0"/>
          <c:extLst>
            <c:ext xmlns:c16="http://schemas.microsoft.com/office/drawing/2014/chart" uri="{C3380CC4-5D6E-409C-BE32-E72D297353CC}">
              <c16:uniqueId val="{00000002-994F-49E5-A63B-2D347B8B7C60}"/>
            </c:ext>
          </c:extLst>
        </c:ser>
        <c:ser>
          <c:idx val="3"/>
          <c:order val="3"/>
          <c:spPr>
            <a:ln w="28575" cap="rnd">
              <a:solidFill>
                <a:schemeClr val="accent4"/>
              </a:solidFill>
              <a:round/>
            </a:ln>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Sheet1!$F$3:$F$17</c:f>
              <c:numCache>
                <c:formatCode>0</c:formatCode>
                <c:ptCount val="15"/>
                <c:pt idx="0">
                  <c:v>94</c:v>
                </c:pt>
                <c:pt idx="1">
                  <c:v>62</c:v>
                </c:pt>
                <c:pt idx="2">
                  <c:v>76</c:v>
                </c:pt>
                <c:pt idx="3">
                  <c:v>40</c:v>
                </c:pt>
                <c:pt idx="4">
                  <c:v>70</c:v>
                </c:pt>
                <c:pt idx="5">
                  <c:v>92</c:v>
                </c:pt>
                <c:pt idx="6">
                  <c:v>50</c:v>
                </c:pt>
                <c:pt idx="7">
                  <c:v>79</c:v>
                </c:pt>
                <c:pt idx="8">
                  <c:v>72</c:v>
                </c:pt>
                <c:pt idx="9">
                  <c:v>35</c:v>
                </c:pt>
                <c:pt idx="10">
                  <c:v>63</c:v>
                </c:pt>
                <c:pt idx="11">
                  <c:v>49</c:v>
                </c:pt>
                <c:pt idx="12">
                  <c:v>40</c:v>
                </c:pt>
                <c:pt idx="13">
                  <c:v>92</c:v>
                </c:pt>
                <c:pt idx="14">
                  <c:v>91</c:v>
                </c:pt>
              </c:numCache>
            </c:numRef>
          </c:val>
          <c:smooth val="0"/>
          <c:extLst>
            <c:ext xmlns:c16="http://schemas.microsoft.com/office/drawing/2014/chart" uri="{C3380CC4-5D6E-409C-BE32-E72D297353CC}">
              <c16:uniqueId val="{00000003-994F-49E5-A63B-2D347B8B7C60}"/>
            </c:ext>
          </c:extLst>
        </c:ser>
        <c:dLbls>
          <c:showLegendKey val="0"/>
          <c:showVal val="0"/>
          <c:showCatName val="0"/>
          <c:showSerName val="0"/>
          <c:showPercent val="0"/>
          <c:showBubbleSize val="0"/>
        </c:dLbls>
        <c:smooth val="0"/>
        <c:axId val="409825520"/>
        <c:axId val="409828472"/>
      </c:lineChart>
      <c:catAx>
        <c:axId val="40982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3175">
                  <a:solidFill>
                    <a:schemeClr val="accent6">
                      <a:lumMod val="75000"/>
                    </a:schemeClr>
                  </a:solidFill>
                </a:ln>
                <a:solidFill>
                  <a:schemeClr val="accent1"/>
                </a:solidFill>
                <a:latin typeface="+mn-lt"/>
                <a:ea typeface="+mn-ea"/>
                <a:cs typeface="+mn-cs"/>
              </a:defRPr>
            </a:pPr>
            <a:endParaRPr lang="en-US"/>
          </a:p>
        </c:txPr>
        <c:crossAx val="409828472"/>
        <c:crosses val="autoZero"/>
        <c:auto val="1"/>
        <c:lblAlgn val="ctr"/>
        <c:lblOffset val="100"/>
        <c:noMultiLvlLbl val="0"/>
      </c:catAx>
      <c:valAx>
        <c:axId val="4098284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3175">
                  <a:solidFill>
                    <a:schemeClr val="accent6">
                      <a:lumMod val="75000"/>
                    </a:schemeClr>
                  </a:solidFill>
                </a:ln>
                <a:solidFill>
                  <a:schemeClr val="accent1"/>
                </a:solidFill>
                <a:latin typeface="+mn-lt"/>
                <a:ea typeface="+mn-ea"/>
                <a:cs typeface="+mn-cs"/>
              </a:defRPr>
            </a:pPr>
            <a:endParaRPr lang="en-US"/>
          </a:p>
        </c:txPr>
        <c:crossAx val="409825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w="3175">
                <a:solidFill>
                  <a:schemeClr val="accent6">
                    <a:lumMod val="75000"/>
                  </a:schemeClr>
                </a:solidFill>
              </a:ln>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5">
      <a:fgClr>
        <a:schemeClr val="tx1">
          <a:lumMod val="65000"/>
          <a:lumOff val="35000"/>
        </a:schemeClr>
      </a:fgClr>
      <a:bgClr>
        <a:schemeClr val="bg1"/>
      </a:bgClr>
    </a:pattFill>
    <a:ln w="9525" cap="flat" cmpd="sng" algn="ctr">
      <a:solidFill>
        <a:schemeClr val="tx1">
          <a:lumMod val="15000"/>
          <a:lumOff val="85000"/>
        </a:schemeClr>
      </a:solidFill>
      <a:round/>
    </a:ln>
    <a:effectLst/>
  </c:spPr>
  <c:txPr>
    <a:bodyPr/>
    <a:lstStyle/>
    <a:p>
      <a:pPr>
        <a:defRPr>
          <a:ln w="3175">
            <a:solidFill>
              <a:schemeClr val="accent6">
                <a:lumMod val="75000"/>
              </a:schemeClr>
            </a:solidFill>
          </a:ln>
          <a:solidFill>
            <a:schemeClr val="accent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MARKSHEET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lotArea>
      <c:layout>
        <c:manualLayout>
          <c:layoutTarget val="inner"/>
          <c:xMode val="edge"/>
          <c:yMode val="edge"/>
          <c:x val="3.6500604296960906E-2"/>
          <c:y val="0.20100111766152143"/>
          <c:w val="0.94942582973846235"/>
          <c:h val="0.71651148958191302"/>
        </c:manualLayout>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Sheet1!$C$3:$C$17</c:f>
              <c:numCache>
                <c:formatCode>0</c:formatCode>
                <c:ptCount val="15"/>
                <c:pt idx="0">
                  <c:v>49</c:v>
                </c:pt>
                <c:pt idx="1">
                  <c:v>53</c:v>
                </c:pt>
                <c:pt idx="2">
                  <c:v>36</c:v>
                </c:pt>
                <c:pt idx="3">
                  <c:v>96</c:v>
                </c:pt>
                <c:pt idx="4">
                  <c:v>43</c:v>
                </c:pt>
                <c:pt idx="5">
                  <c:v>37</c:v>
                </c:pt>
                <c:pt idx="6">
                  <c:v>59</c:v>
                </c:pt>
                <c:pt idx="7">
                  <c:v>95</c:v>
                </c:pt>
                <c:pt idx="8">
                  <c:v>91</c:v>
                </c:pt>
                <c:pt idx="9">
                  <c:v>98</c:v>
                </c:pt>
                <c:pt idx="10">
                  <c:v>91</c:v>
                </c:pt>
                <c:pt idx="11">
                  <c:v>56</c:v>
                </c:pt>
                <c:pt idx="12">
                  <c:v>90</c:v>
                </c:pt>
                <c:pt idx="13">
                  <c:v>75</c:v>
                </c:pt>
                <c:pt idx="14">
                  <c:v>89</c:v>
                </c:pt>
              </c:numCache>
            </c:numRef>
          </c:val>
          <c:smooth val="0"/>
          <c:extLst>
            <c:ext xmlns:c16="http://schemas.microsoft.com/office/drawing/2014/chart" uri="{C3380CC4-5D6E-409C-BE32-E72D297353CC}">
              <c16:uniqueId val="{00000000-C237-408B-957F-3209FB4DFC1C}"/>
            </c:ext>
          </c:extLst>
        </c:ser>
        <c:ser>
          <c:idx val="1"/>
          <c:order val="1"/>
          <c:spPr>
            <a:ln w="22225" cap="rnd">
              <a:solidFill>
                <a:schemeClr val="accent2"/>
              </a:solidFill>
            </a:ln>
            <a:effectLst>
              <a:glow rad="139700">
                <a:schemeClr val="accent2">
                  <a:satMod val="175000"/>
                  <a:alpha val="14000"/>
                </a:schemeClr>
              </a:glow>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Sheet1!$D$3:$D$17</c:f>
              <c:numCache>
                <c:formatCode>0</c:formatCode>
                <c:ptCount val="15"/>
                <c:pt idx="0">
                  <c:v>66</c:v>
                </c:pt>
                <c:pt idx="1">
                  <c:v>49</c:v>
                </c:pt>
                <c:pt idx="2">
                  <c:v>55</c:v>
                </c:pt>
                <c:pt idx="3">
                  <c:v>74</c:v>
                </c:pt>
                <c:pt idx="4">
                  <c:v>84</c:v>
                </c:pt>
                <c:pt idx="5">
                  <c:v>57</c:v>
                </c:pt>
                <c:pt idx="6">
                  <c:v>83</c:v>
                </c:pt>
                <c:pt idx="7">
                  <c:v>52</c:v>
                </c:pt>
                <c:pt idx="8">
                  <c:v>93</c:v>
                </c:pt>
                <c:pt idx="9">
                  <c:v>72</c:v>
                </c:pt>
                <c:pt idx="10">
                  <c:v>51</c:v>
                </c:pt>
                <c:pt idx="11">
                  <c:v>93</c:v>
                </c:pt>
                <c:pt idx="12">
                  <c:v>80</c:v>
                </c:pt>
                <c:pt idx="13">
                  <c:v>98</c:v>
                </c:pt>
                <c:pt idx="14">
                  <c:v>56</c:v>
                </c:pt>
              </c:numCache>
            </c:numRef>
          </c:val>
          <c:smooth val="0"/>
          <c:extLst>
            <c:ext xmlns:c16="http://schemas.microsoft.com/office/drawing/2014/chart" uri="{C3380CC4-5D6E-409C-BE32-E72D297353CC}">
              <c16:uniqueId val="{00000001-C237-408B-957F-3209FB4DFC1C}"/>
            </c:ext>
          </c:extLst>
        </c:ser>
        <c:ser>
          <c:idx val="2"/>
          <c:order val="2"/>
          <c:spPr>
            <a:ln w="22225" cap="rnd">
              <a:solidFill>
                <a:schemeClr val="accent3"/>
              </a:solidFill>
            </a:ln>
            <a:effectLst>
              <a:glow rad="139700">
                <a:schemeClr val="accent3">
                  <a:satMod val="175000"/>
                  <a:alpha val="14000"/>
                </a:schemeClr>
              </a:glow>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Sheet1!$E$3:$E$17</c:f>
              <c:numCache>
                <c:formatCode>0</c:formatCode>
                <c:ptCount val="15"/>
                <c:pt idx="0">
                  <c:v>82</c:v>
                </c:pt>
                <c:pt idx="1">
                  <c:v>33</c:v>
                </c:pt>
                <c:pt idx="2">
                  <c:v>99</c:v>
                </c:pt>
                <c:pt idx="3">
                  <c:v>97</c:v>
                </c:pt>
                <c:pt idx="4">
                  <c:v>40</c:v>
                </c:pt>
                <c:pt idx="5">
                  <c:v>62</c:v>
                </c:pt>
                <c:pt idx="6">
                  <c:v>92</c:v>
                </c:pt>
                <c:pt idx="7">
                  <c:v>92</c:v>
                </c:pt>
                <c:pt idx="8">
                  <c:v>85</c:v>
                </c:pt>
                <c:pt idx="9">
                  <c:v>70</c:v>
                </c:pt>
                <c:pt idx="10">
                  <c:v>86</c:v>
                </c:pt>
                <c:pt idx="11">
                  <c:v>41</c:v>
                </c:pt>
                <c:pt idx="12">
                  <c:v>85</c:v>
                </c:pt>
                <c:pt idx="13">
                  <c:v>35</c:v>
                </c:pt>
                <c:pt idx="14">
                  <c:v>52</c:v>
                </c:pt>
              </c:numCache>
            </c:numRef>
          </c:val>
          <c:smooth val="0"/>
          <c:extLst>
            <c:ext xmlns:c16="http://schemas.microsoft.com/office/drawing/2014/chart" uri="{C3380CC4-5D6E-409C-BE32-E72D297353CC}">
              <c16:uniqueId val="{00000002-C237-408B-957F-3209FB4DFC1C}"/>
            </c:ext>
          </c:extLst>
        </c:ser>
        <c:ser>
          <c:idx val="3"/>
          <c:order val="3"/>
          <c:spPr>
            <a:ln w="22225" cap="rnd">
              <a:solidFill>
                <a:schemeClr val="accent4"/>
              </a:solidFill>
            </a:ln>
            <a:effectLst>
              <a:glow rad="139700">
                <a:schemeClr val="accent4">
                  <a:satMod val="175000"/>
                  <a:alpha val="14000"/>
                </a:schemeClr>
              </a:glow>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Sheet1!$F$3:$F$17</c:f>
              <c:numCache>
                <c:formatCode>0</c:formatCode>
                <c:ptCount val="15"/>
                <c:pt idx="0">
                  <c:v>94</c:v>
                </c:pt>
                <c:pt idx="1">
                  <c:v>62</c:v>
                </c:pt>
                <c:pt idx="2">
                  <c:v>76</c:v>
                </c:pt>
                <c:pt idx="3">
                  <c:v>40</c:v>
                </c:pt>
                <c:pt idx="4">
                  <c:v>70</c:v>
                </c:pt>
                <c:pt idx="5">
                  <c:v>92</c:v>
                </c:pt>
                <c:pt idx="6">
                  <c:v>50</c:v>
                </c:pt>
                <c:pt idx="7">
                  <c:v>79</c:v>
                </c:pt>
                <c:pt idx="8">
                  <c:v>72</c:v>
                </c:pt>
                <c:pt idx="9">
                  <c:v>35</c:v>
                </c:pt>
                <c:pt idx="10">
                  <c:v>63</c:v>
                </c:pt>
                <c:pt idx="11">
                  <c:v>49</c:v>
                </c:pt>
                <c:pt idx="12">
                  <c:v>40</c:v>
                </c:pt>
                <c:pt idx="13">
                  <c:v>92</c:v>
                </c:pt>
                <c:pt idx="14">
                  <c:v>91</c:v>
                </c:pt>
              </c:numCache>
            </c:numRef>
          </c:val>
          <c:smooth val="0"/>
          <c:extLst>
            <c:ext xmlns:c16="http://schemas.microsoft.com/office/drawing/2014/chart" uri="{C3380CC4-5D6E-409C-BE32-E72D297353CC}">
              <c16:uniqueId val="{00000003-C237-408B-957F-3209FB4DFC1C}"/>
            </c:ext>
          </c:extLst>
        </c:ser>
        <c:ser>
          <c:idx val="4"/>
          <c:order val="4"/>
          <c:spPr>
            <a:ln w="22225" cap="rnd">
              <a:solidFill>
                <a:schemeClr val="accent5"/>
              </a:solidFill>
            </a:ln>
            <a:effectLst>
              <a:glow rad="139700">
                <a:schemeClr val="accent5">
                  <a:satMod val="175000"/>
                  <a:alpha val="14000"/>
                </a:schemeClr>
              </a:glow>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Sheet1!$G$3:$G$17</c:f>
              <c:numCache>
                <c:formatCode>0</c:formatCode>
                <c:ptCount val="15"/>
                <c:pt idx="0">
                  <c:v>62</c:v>
                </c:pt>
                <c:pt idx="1">
                  <c:v>49</c:v>
                </c:pt>
                <c:pt idx="2">
                  <c:v>83</c:v>
                </c:pt>
                <c:pt idx="3">
                  <c:v>35</c:v>
                </c:pt>
                <c:pt idx="4">
                  <c:v>79</c:v>
                </c:pt>
                <c:pt idx="5">
                  <c:v>70</c:v>
                </c:pt>
                <c:pt idx="6">
                  <c:v>66</c:v>
                </c:pt>
                <c:pt idx="7">
                  <c:v>89</c:v>
                </c:pt>
                <c:pt idx="8">
                  <c:v>78</c:v>
                </c:pt>
                <c:pt idx="9">
                  <c:v>88</c:v>
                </c:pt>
                <c:pt idx="10">
                  <c:v>95</c:v>
                </c:pt>
                <c:pt idx="11">
                  <c:v>97</c:v>
                </c:pt>
                <c:pt idx="12">
                  <c:v>84</c:v>
                </c:pt>
                <c:pt idx="13">
                  <c:v>91</c:v>
                </c:pt>
                <c:pt idx="14">
                  <c:v>82</c:v>
                </c:pt>
              </c:numCache>
            </c:numRef>
          </c:val>
          <c:smooth val="0"/>
          <c:extLst>
            <c:ext xmlns:c16="http://schemas.microsoft.com/office/drawing/2014/chart" uri="{C3380CC4-5D6E-409C-BE32-E72D297353CC}">
              <c16:uniqueId val="{00000004-C237-408B-957F-3209FB4DFC1C}"/>
            </c:ext>
          </c:extLst>
        </c:ser>
        <c:ser>
          <c:idx val="5"/>
          <c:order val="5"/>
          <c:spPr>
            <a:ln w="22225" cap="rnd">
              <a:solidFill>
                <a:schemeClr val="accent6"/>
              </a:solidFill>
            </a:ln>
            <a:effectLst>
              <a:glow rad="139700">
                <a:schemeClr val="accent6">
                  <a:satMod val="175000"/>
                  <a:alpha val="14000"/>
                </a:schemeClr>
              </a:glow>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Sheet1!$H$3:$H$17</c:f>
              <c:numCache>
                <c:formatCode>0</c:formatCode>
                <c:ptCount val="15"/>
              </c:numCache>
            </c:numRef>
          </c:val>
          <c:smooth val="0"/>
          <c:extLst>
            <c:ext xmlns:c16="http://schemas.microsoft.com/office/drawing/2014/chart" uri="{C3380CC4-5D6E-409C-BE32-E72D297353CC}">
              <c16:uniqueId val="{00000005-C237-408B-957F-3209FB4DFC1C}"/>
            </c:ext>
          </c:extLst>
        </c:ser>
        <c:ser>
          <c:idx val="6"/>
          <c:order val="6"/>
          <c:spPr>
            <a:ln w="22225" cap="rnd">
              <a:solidFill>
                <a:schemeClr val="accent1">
                  <a:lumMod val="60000"/>
                </a:schemeClr>
              </a:solidFill>
            </a:ln>
            <a:effectLst>
              <a:glow rad="139700">
                <a:schemeClr val="accent1">
                  <a:lumMod val="60000"/>
                  <a:satMod val="175000"/>
                  <a:alpha val="14000"/>
                </a:schemeClr>
              </a:glow>
            </a:effectLst>
          </c:spPr>
          <c:marker>
            <c:symbol val="none"/>
          </c:marker>
          <c:cat>
            <c:strRef>
              <c:f>Sheet1!$B$3:$B$17</c:f>
              <c:strCache>
                <c:ptCount val="15"/>
                <c:pt idx="0">
                  <c:v>Rajat</c:v>
                </c:pt>
                <c:pt idx="1">
                  <c:v>Virat</c:v>
                </c:pt>
                <c:pt idx="2">
                  <c:v>Suresh</c:v>
                </c:pt>
                <c:pt idx="3">
                  <c:v>Yuvraj</c:v>
                </c:pt>
                <c:pt idx="4">
                  <c:v>Hardik</c:v>
                </c:pt>
                <c:pt idx="5">
                  <c:v>Surya</c:v>
                </c:pt>
                <c:pt idx="6">
                  <c:v>Shubh</c:v>
                </c:pt>
                <c:pt idx="7">
                  <c:v>Ronak</c:v>
                </c:pt>
                <c:pt idx="8">
                  <c:v>Vedant</c:v>
                </c:pt>
                <c:pt idx="9">
                  <c:v>Meet</c:v>
                </c:pt>
                <c:pt idx="10">
                  <c:v>Gaurav</c:v>
                </c:pt>
                <c:pt idx="11">
                  <c:v>Sagar</c:v>
                </c:pt>
                <c:pt idx="12">
                  <c:v>Jasmin</c:v>
                </c:pt>
                <c:pt idx="13">
                  <c:v>Jenil</c:v>
                </c:pt>
                <c:pt idx="14">
                  <c:v>Kartik</c:v>
                </c:pt>
              </c:strCache>
            </c:strRef>
          </c:cat>
          <c:val>
            <c:numRef>
              <c:f>Sheet1!$I$3:$I$17</c:f>
              <c:numCache>
                <c:formatCode>0</c:formatCode>
                <c:ptCount val="15"/>
                <c:pt idx="0">
                  <c:v>353</c:v>
                </c:pt>
                <c:pt idx="1">
                  <c:v>246</c:v>
                </c:pt>
                <c:pt idx="2">
                  <c:v>349</c:v>
                </c:pt>
                <c:pt idx="3">
                  <c:v>342</c:v>
                </c:pt>
                <c:pt idx="4">
                  <c:v>316</c:v>
                </c:pt>
                <c:pt idx="5">
                  <c:v>318</c:v>
                </c:pt>
                <c:pt idx="6">
                  <c:v>350</c:v>
                </c:pt>
                <c:pt idx="7">
                  <c:v>407</c:v>
                </c:pt>
                <c:pt idx="8">
                  <c:v>419</c:v>
                </c:pt>
                <c:pt idx="9">
                  <c:v>363</c:v>
                </c:pt>
                <c:pt idx="10">
                  <c:v>386</c:v>
                </c:pt>
                <c:pt idx="11">
                  <c:v>336</c:v>
                </c:pt>
                <c:pt idx="12">
                  <c:v>379</c:v>
                </c:pt>
                <c:pt idx="13">
                  <c:v>391</c:v>
                </c:pt>
                <c:pt idx="14">
                  <c:v>370</c:v>
                </c:pt>
              </c:numCache>
            </c:numRef>
          </c:val>
          <c:smooth val="0"/>
          <c:extLst>
            <c:ext xmlns:c16="http://schemas.microsoft.com/office/drawing/2014/chart" uri="{C3380CC4-5D6E-409C-BE32-E72D297353CC}">
              <c16:uniqueId val="{00000006-C237-408B-957F-3209FB4DFC1C}"/>
            </c:ext>
          </c:extLst>
        </c:ser>
        <c:dLbls>
          <c:showLegendKey val="0"/>
          <c:showVal val="0"/>
          <c:showCatName val="0"/>
          <c:showSerName val="0"/>
          <c:showPercent val="0"/>
          <c:showBubbleSize val="0"/>
        </c:dLbls>
        <c:smooth val="0"/>
        <c:axId val="315606456"/>
        <c:axId val="315603504"/>
      </c:lineChart>
      <c:catAx>
        <c:axId val="3156064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5603504"/>
        <c:crosses val="autoZero"/>
        <c:auto val="1"/>
        <c:lblAlgn val="ctr"/>
        <c:lblOffset val="100"/>
        <c:noMultiLvlLbl val="0"/>
      </c:catAx>
      <c:valAx>
        <c:axId val="3156035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156064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75000"/>
      </a:schemeClr>
    </a:solidFill>
    <a:ln w="9525" cap="flat" cmpd="sng" algn="ctr">
      <a:solidFill>
        <a:schemeClr val="bg2">
          <a:lumMod val="9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[Book1.xlsx]Pivot2!PivotTable2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4">
                  <a:lumMod val="60000"/>
                  <a:lumOff val="40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Pivot2!$D$5</c:f>
              <c:strCache>
                <c:ptCount val="1"/>
                <c:pt idx="0">
                  <c:v>Total</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a:sp3d contourW="9525">
              <a:contourClr>
                <a:schemeClr val="accent4">
                  <a:shade val="95000"/>
                </a:schemeClr>
              </a:contourClr>
            </a:sp3d>
          </c:spPr>
          <c:invertIfNegative val="0"/>
          <c:cat>
            <c:strRef>
              <c:f>Pivot2!$C$6:$C$32</c:f>
              <c:strCache>
                <c:ptCount val="26"/>
                <c:pt idx="0">
                  <c:v>Abigail King</c:v>
                </c:pt>
                <c:pt idx="1">
                  <c:v>Amelia Garcia</c:v>
                </c:pt>
                <c:pt idx="2">
                  <c:v>Aurora Foster</c:v>
                </c:pt>
                <c:pt idx="3">
                  <c:v>Ava Martinez</c:v>
                </c:pt>
                <c:pt idx="4">
                  <c:v>Bella Kelly</c:v>
                </c:pt>
                <c:pt idx="5">
                  <c:v>Charlotte Martin</c:v>
                </c:pt>
                <c:pt idx="6">
                  <c:v>Ella Scott</c:v>
                </c:pt>
                <c:pt idx="7">
                  <c:v>Emma Johnson</c:v>
                </c:pt>
                <c:pt idx="8">
                  <c:v>Evelyn Allen</c:v>
                </c:pt>
                <c:pt idx="9">
                  <c:v>Grace Adams</c:v>
                </c:pt>
                <c:pt idx="10">
                  <c:v>Hannah Morris</c:v>
                </c:pt>
                <c:pt idx="11">
                  <c:v>Harper Walker</c:v>
                </c:pt>
                <c:pt idx="12">
                  <c:v>Isabella White</c:v>
                </c:pt>
                <c:pt idx="13">
                  <c:v>John Smith</c:v>
                </c:pt>
                <c:pt idx="14">
                  <c:v>Layla Sanders</c:v>
                </c:pt>
                <c:pt idx="15">
                  <c:v>Leah Bennett</c:v>
                </c:pt>
                <c:pt idx="16">
                  <c:v>Lily Roberts</c:v>
                </c:pt>
                <c:pt idx="17">
                  <c:v>Lucy Cook</c:v>
                </c:pt>
                <c:pt idx="18">
                  <c:v>Mia Rodriguez</c:v>
                </c:pt>
                <c:pt idx="19">
                  <c:v>Natalie Cooper</c:v>
                </c:pt>
                <c:pt idx="20">
                  <c:v>Olivia Davis</c:v>
                </c:pt>
                <c:pt idx="21">
                  <c:v>Scarlett Nelson</c:v>
                </c:pt>
                <c:pt idx="22">
                  <c:v>Sophia Taylor</c:v>
                </c:pt>
                <c:pt idx="23">
                  <c:v>Stella Richardson</c:v>
                </c:pt>
                <c:pt idx="24">
                  <c:v>Victoria Perez</c:v>
                </c:pt>
                <c:pt idx="25">
                  <c:v>Zoe Stewart</c:v>
                </c:pt>
              </c:strCache>
            </c:strRef>
          </c:cat>
          <c:val>
            <c:numRef>
              <c:f>Pivot2!$D$6:$D$32</c:f>
              <c:numCache>
                <c:formatCode>General</c:formatCode>
                <c:ptCount val="2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numCache>
            </c:numRef>
          </c:val>
          <c:extLst>
            <c:ext xmlns:c16="http://schemas.microsoft.com/office/drawing/2014/chart" uri="{C3380CC4-5D6E-409C-BE32-E72D297353CC}">
              <c16:uniqueId val="{00000000-4CEE-4916-B5E0-EFACEA7C747C}"/>
            </c:ext>
          </c:extLst>
        </c:ser>
        <c:dLbls>
          <c:showLegendKey val="0"/>
          <c:showVal val="0"/>
          <c:showCatName val="0"/>
          <c:showSerName val="0"/>
          <c:showPercent val="0"/>
          <c:showBubbleSize val="0"/>
        </c:dLbls>
        <c:gapWidth val="150"/>
        <c:shape val="box"/>
        <c:axId val="487857592"/>
        <c:axId val="487853656"/>
        <c:axId val="0"/>
      </c:bar3DChart>
      <c:catAx>
        <c:axId val="487857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487853656"/>
        <c:crosses val="autoZero"/>
        <c:auto val="1"/>
        <c:lblAlgn val="ctr"/>
        <c:lblOffset val="100"/>
        <c:noMultiLvlLbl val="0"/>
      </c:catAx>
      <c:valAx>
        <c:axId val="487853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75000"/>
                  </a:schemeClr>
                </a:solidFill>
                <a:latin typeface="+mn-lt"/>
                <a:ea typeface="+mn-ea"/>
                <a:cs typeface="+mn-cs"/>
              </a:defRPr>
            </a:pPr>
            <a:endParaRPr lang="en-US"/>
          </a:p>
        </c:txPr>
        <c:crossAx val="487857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[Book1.xlsx]Pivot3!PivotTable5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Pivot3!$G$5</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01E-4BAB-B531-DA95F070C5EA}"/>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01E-4BAB-B531-DA95F070C5EA}"/>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01E-4BAB-B531-DA95F070C5EA}"/>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01E-4BAB-B531-DA95F070C5EA}"/>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01E-4BAB-B531-DA95F070C5E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Pivot3!$F$6:$F$11</c:f>
              <c:strCache>
                <c:ptCount val="5"/>
                <c:pt idx="0">
                  <c:v>Ajkot</c:v>
                </c:pt>
                <c:pt idx="1">
                  <c:v>Bhavanagar</c:v>
                </c:pt>
                <c:pt idx="2">
                  <c:v>Bhavanagr</c:v>
                </c:pt>
                <c:pt idx="3">
                  <c:v>Dubai</c:v>
                </c:pt>
                <c:pt idx="4">
                  <c:v>Junagadh</c:v>
                </c:pt>
              </c:strCache>
            </c:strRef>
          </c:cat>
          <c:val>
            <c:numRef>
              <c:f>Pivot3!$G$6:$G$11</c:f>
              <c:numCache>
                <c:formatCode>General</c:formatCode>
                <c:ptCount val="5"/>
                <c:pt idx="0">
                  <c:v>5</c:v>
                </c:pt>
                <c:pt idx="1">
                  <c:v>2</c:v>
                </c:pt>
                <c:pt idx="2">
                  <c:v>7</c:v>
                </c:pt>
                <c:pt idx="3">
                  <c:v>5</c:v>
                </c:pt>
                <c:pt idx="4">
                  <c:v>5</c:v>
                </c:pt>
              </c:numCache>
            </c:numRef>
          </c:val>
          <c:extLst>
            <c:ext xmlns:c16="http://schemas.microsoft.com/office/drawing/2014/chart" uri="{C3380CC4-5D6E-409C-BE32-E72D297353CC}">
              <c16:uniqueId val="{00000000-B8A8-4544-BD01-EEAC42AAF42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[Book1.xlsx]Sheet2!PivotTable15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of Percantage by City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Female</c:v>
                </c:pt>
              </c:strCache>
            </c:strRef>
          </c:tx>
          <c:spPr>
            <a:solidFill>
              <a:schemeClr val="accent1"/>
            </a:solidFill>
            <a:ln>
              <a:noFill/>
            </a:ln>
            <a:effectLst/>
          </c:spPr>
          <c:invertIfNegative val="0"/>
          <c:cat>
            <c:strRef>
              <c:f>Sheet2!$A$5:$A$10</c:f>
              <c:strCache>
                <c:ptCount val="6"/>
                <c:pt idx="0">
                  <c:v>Ajkot</c:v>
                </c:pt>
                <c:pt idx="1">
                  <c:v>Bhavanagar</c:v>
                </c:pt>
                <c:pt idx="2">
                  <c:v>Bhavanagr</c:v>
                </c:pt>
                <c:pt idx="3">
                  <c:v>Dubai</c:v>
                </c:pt>
                <c:pt idx="4">
                  <c:v>Junagadh</c:v>
                </c:pt>
                <c:pt idx="5">
                  <c:v>Mumbai</c:v>
                </c:pt>
              </c:strCache>
            </c:strRef>
          </c:cat>
          <c:val>
            <c:numRef>
              <c:f>Sheet2!$B$5:$B$10</c:f>
              <c:numCache>
                <c:formatCode>General</c:formatCode>
                <c:ptCount val="6"/>
                <c:pt idx="0">
                  <c:v>0.56600000000000006</c:v>
                </c:pt>
                <c:pt idx="1">
                  <c:v>0.60799999999999998</c:v>
                </c:pt>
                <c:pt idx="2">
                  <c:v>0.56533333333333335</c:v>
                </c:pt>
                <c:pt idx="3">
                  <c:v>0.64759999999999995</c:v>
                </c:pt>
                <c:pt idx="4">
                  <c:v>0.65160000000000007</c:v>
                </c:pt>
                <c:pt idx="5">
                  <c:v>0.62160000000000004</c:v>
                </c:pt>
              </c:numCache>
            </c:numRef>
          </c:val>
          <c:extLst>
            <c:ext xmlns:c16="http://schemas.microsoft.com/office/drawing/2014/chart" uri="{C3380CC4-5D6E-409C-BE32-E72D297353CC}">
              <c16:uniqueId val="{00000000-5A9F-4CB1-B99F-69221D57AFDD}"/>
            </c:ext>
          </c:extLst>
        </c:ser>
        <c:ser>
          <c:idx val="1"/>
          <c:order val="1"/>
          <c:tx>
            <c:strRef>
              <c:f>Sheet2!$C$3:$C$4</c:f>
              <c:strCache>
                <c:ptCount val="1"/>
                <c:pt idx="0">
                  <c:v>Male</c:v>
                </c:pt>
              </c:strCache>
            </c:strRef>
          </c:tx>
          <c:spPr>
            <a:solidFill>
              <a:schemeClr val="accent2"/>
            </a:solidFill>
            <a:ln>
              <a:noFill/>
            </a:ln>
            <a:effectLst/>
          </c:spPr>
          <c:invertIfNegative val="0"/>
          <c:cat>
            <c:strRef>
              <c:f>Sheet2!$A$5:$A$10</c:f>
              <c:strCache>
                <c:ptCount val="6"/>
                <c:pt idx="0">
                  <c:v>Ajkot</c:v>
                </c:pt>
                <c:pt idx="1">
                  <c:v>Bhavanagar</c:v>
                </c:pt>
                <c:pt idx="2">
                  <c:v>Bhavanagr</c:v>
                </c:pt>
                <c:pt idx="3">
                  <c:v>Dubai</c:v>
                </c:pt>
                <c:pt idx="4">
                  <c:v>Junagadh</c:v>
                </c:pt>
                <c:pt idx="5">
                  <c:v>Mumbai</c:v>
                </c:pt>
              </c:strCache>
            </c:strRef>
          </c:cat>
          <c:val>
            <c:numRef>
              <c:f>Sheet2!$C$5:$C$10</c:f>
              <c:numCache>
                <c:formatCode>General</c:formatCode>
                <c:ptCount val="6"/>
                <c:pt idx="0">
                  <c:v>0.65319999999999989</c:v>
                </c:pt>
                <c:pt idx="1">
                  <c:v>0.497</c:v>
                </c:pt>
                <c:pt idx="2">
                  <c:v>0.59885714285714287</c:v>
                </c:pt>
                <c:pt idx="3">
                  <c:v>0.58200000000000007</c:v>
                </c:pt>
                <c:pt idx="4">
                  <c:v>0.56880000000000008</c:v>
                </c:pt>
              </c:numCache>
            </c:numRef>
          </c:val>
          <c:extLst>
            <c:ext xmlns:c16="http://schemas.microsoft.com/office/drawing/2014/chart" uri="{C3380CC4-5D6E-409C-BE32-E72D297353CC}">
              <c16:uniqueId val="{00000001-5A9F-4CB1-B99F-69221D57AFDD}"/>
            </c:ext>
          </c:extLst>
        </c:ser>
        <c:dLbls>
          <c:showLegendKey val="0"/>
          <c:showVal val="0"/>
          <c:showCatName val="0"/>
          <c:showSerName val="0"/>
          <c:showPercent val="0"/>
          <c:showBubbleSize val="0"/>
        </c:dLbls>
        <c:gapWidth val="219"/>
        <c:overlap val="-27"/>
        <c:axId val="526965176"/>
        <c:axId val="526965832"/>
      </c:barChart>
      <c:catAx>
        <c:axId val="526965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65832"/>
        <c:crosses val="autoZero"/>
        <c:auto val="1"/>
        <c:lblAlgn val="ctr"/>
        <c:lblOffset val="100"/>
        <c:noMultiLvlLbl val="0"/>
      </c:catAx>
      <c:valAx>
        <c:axId val="526965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965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13</xdr:col>
      <xdr:colOff>14909</xdr:colOff>
      <xdr:row>0</xdr:row>
      <xdr:rowOff>0</xdr:rowOff>
    </xdr:from>
    <xdr:to>
      <xdr:col>18</xdr:col>
      <xdr:colOff>43483</xdr:colOff>
      <xdr:row>17</xdr:row>
      <xdr:rowOff>9524</xdr:rowOff>
    </xdr:to>
    <xdr:graphicFrame macro="">
      <xdr:nvGraphicFramePr>
        <xdr:cNvPr id="2" name="Chart 1">
          <a:extLst>
            <a:ext uri="{FF2B5EF4-FFF2-40B4-BE49-F238E27FC236}">
              <a16:creationId xmlns:a16="http://schemas.microsoft.com/office/drawing/2014/main" id="{ED014CC0-6F9C-4DB0-B156-CC295627F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23812</xdr:rowOff>
    </xdr:from>
    <xdr:to>
      <xdr:col>9</xdr:col>
      <xdr:colOff>582706</xdr:colOff>
      <xdr:row>31</xdr:row>
      <xdr:rowOff>100012</xdr:rowOff>
    </xdr:to>
    <xdr:graphicFrame macro="">
      <xdr:nvGraphicFramePr>
        <xdr:cNvPr id="3" name="Chart 2">
          <a:extLst>
            <a:ext uri="{FF2B5EF4-FFF2-40B4-BE49-F238E27FC236}">
              <a16:creationId xmlns:a16="http://schemas.microsoft.com/office/drawing/2014/main" id="{E3B05BE7-F6F9-4456-8BA4-AE2368FB7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17</xdr:row>
      <xdr:rowOff>10925</xdr:rowOff>
    </xdr:from>
    <xdr:to>
      <xdr:col>18</xdr:col>
      <xdr:colOff>44824</xdr:colOff>
      <xdr:row>31</xdr:row>
      <xdr:rowOff>87125</xdr:rowOff>
    </xdr:to>
    <xdr:graphicFrame macro="">
      <xdr:nvGraphicFramePr>
        <xdr:cNvPr id="4" name="Chart 3">
          <a:extLst>
            <a:ext uri="{FF2B5EF4-FFF2-40B4-BE49-F238E27FC236}">
              <a16:creationId xmlns:a16="http://schemas.microsoft.com/office/drawing/2014/main" id="{4EDD90FB-BEBA-4694-8DC7-A6DB4DA08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31</xdr:row>
      <xdr:rowOff>121104</xdr:rowOff>
    </xdr:from>
    <xdr:to>
      <xdr:col>18</xdr:col>
      <xdr:colOff>17689</xdr:colOff>
      <xdr:row>51</xdr:row>
      <xdr:rowOff>36740</xdr:rowOff>
    </xdr:to>
    <xdr:graphicFrame macro="">
      <xdr:nvGraphicFramePr>
        <xdr:cNvPr id="12" name="Chart 11">
          <a:extLst>
            <a:ext uri="{FF2B5EF4-FFF2-40B4-BE49-F238E27FC236}">
              <a16:creationId xmlns:a16="http://schemas.microsoft.com/office/drawing/2014/main" id="{F6ECF779-767F-4A20-BD3D-29A03B9F0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180975</xdr:rowOff>
    </xdr:from>
    <xdr:to>
      <xdr:col>1</xdr:col>
      <xdr:colOff>742950</xdr:colOff>
      <xdr:row>16</xdr:row>
      <xdr:rowOff>38100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5C800DA5-8D1D-40F5-82E2-82A5AF55D40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619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138112</xdr:colOff>
      <xdr:row>2</xdr:row>
      <xdr:rowOff>4761</xdr:rowOff>
    </xdr:from>
    <xdr:to>
      <xdr:col>11</xdr:col>
      <xdr:colOff>219075</xdr:colOff>
      <xdr:row>19</xdr:row>
      <xdr:rowOff>47624</xdr:rowOff>
    </xdr:to>
    <xdr:graphicFrame macro="">
      <xdr:nvGraphicFramePr>
        <xdr:cNvPr id="3" name="Chart 2">
          <a:extLst>
            <a:ext uri="{FF2B5EF4-FFF2-40B4-BE49-F238E27FC236}">
              <a16:creationId xmlns:a16="http://schemas.microsoft.com/office/drawing/2014/main" id="{54E25E49-25FE-413D-9CF0-0D90755AE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1047750</xdr:colOff>
      <xdr:row>2</xdr:row>
      <xdr:rowOff>0</xdr:rowOff>
    </xdr:from>
    <xdr:to>
      <xdr:col>4</xdr:col>
      <xdr:colOff>600075</xdr:colOff>
      <xdr:row>15</xdr:row>
      <xdr:rowOff>47625</xdr:rowOff>
    </xdr:to>
    <mc:AlternateContent xmlns:mc="http://schemas.openxmlformats.org/markup-compatibility/2006" xmlns:a14="http://schemas.microsoft.com/office/drawing/2010/main">
      <mc:Choice Requires="a14">
        <xdr:graphicFrame macro="">
          <xdr:nvGraphicFramePr>
            <xdr:cNvPr id="2" name="Name">
              <a:extLst>
                <a:ext uri="{FF2B5EF4-FFF2-40B4-BE49-F238E27FC236}">
                  <a16:creationId xmlns:a16="http://schemas.microsoft.com/office/drawing/2014/main" id="{F5B1A89C-64D7-45FF-BC85-FA8A95B16712}"/>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92405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xdr:row>
      <xdr:rowOff>28575</xdr:rowOff>
    </xdr:from>
    <xdr:to>
      <xdr:col>2</xdr:col>
      <xdr:colOff>0</xdr:colOff>
      <xdr:row>15</xdr:row>
      <xdr:rowOff>76200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BD8646E3-54A2-4681-9AA0-262A423860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525" y="409575"/>
              <a:ext cx="19240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57150</xdr:rowOff>
    </xdr:from>
    <xdr:to>
      <xdr:col>1</xdr:col>
      <xdr:colOff>952500</xdr:colOff>
      <xdr:row>28</xdr:row>
      <xdr:rowOff>104775</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53826D32-2AEC-4C5A-8D83-C9F5BC194FE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2914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23812</xdr:colOff>
      <xdr:row>2</xdr:row>
      <xdr:rowOff>14287</xdr:rowOff>
    </xdr:from>
    <xdr:to>
      <xdr:col>14</xdr:col>
      <xdr:colOff>328612</xdr:colOff>
      <xdr:row>16</xdr:row>
      <xdr:rowOff>90487</xdr:rowOff>
    </xdr:to>
    <xdr:graphicFrame macro="">
      <xdr:nvGraphicFramePr>
        <xdr:cNvPr id="5" name="Chart 4">
          <a:extLst>
            <a:ext uri="{FF2B5EF4-FFF2-40B4-BE49-F238E27FC236}">
              <a16:creationId xmlns:a16="http://schemas.microsoft.com/office/drawing/2014/main" id="{755B3EC5-4007-4DDE-B0D2-6782680F4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371475</xdr:colOff>
      <xdr:row>4</xdr:row>
      <xdr:rowOff>33337</xdr:rowOff>
    </xdr:from>
    <xdr:to>
      <xdr:col>12</xdr:col>
      <xdr:colOff>66675</xdr:colOff>
      <xdr:row>18</xdr:row>
      <xdr:rowOff>109537</xdr:rowOff>
    </xdr:to>
    <xdr:graphicFrame macro="">
      <xdr:nvGraphicFramePr>
        <xdr:cNvPr id="2" name="Chart 1">
          <a:extLst>
            <a:ext uri="{FF2B5EF4-FFF2-40B4-BE49-F238E27FC236}">
              <a16:creationId xmlns:a16="http://schemas.microsoft.com/office/drawing/2014/main" id="{934C4236-5F4A-4123-B309-4D7C54974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16.902062152774" createdVersion="6" refreshedVersion="6" minRefreshableVersion="3" recordCount="50" xr:uid="{B2689000-5D33-4C15-80C9-6B1DBA2A33D0}">
  <cacheSource type="worksheet">
    <worksheetSource ref="A1:N51" sheet="50Stu_Data"/>
  </cacheSource>
  <cacheFields count="14">
    <cacheField name="Sr No." numFmtId="0">
      <sharedItems containsSemiMixedTypes="0" containsString="0" containsNumber="1" containsInteger="1" minValue="1" maxValue="50"/>
    </cacheField>
    <cacheField name="Name" numFmtId="0">
      <sharedItems count="50">
        <s v="John Smith"/>
        <s v="Emma Johnson"/>
        <s v="Liam Brown"/>
        <s v="Olivia Davis"/>
        <s v="Noah Wilson"/>
        <s v="Ava Martinez"/>
        <s v="William Anderson"/>
        <s v="Sophia Taylor"/>
        <s v="James Thomas"/>
        <s v="Isabella White"/>
        <s v="Benjamin Harris"/>
        <s v="Charlotte Martin"/>
        <s v="Henry Thompson"/>
        <s v="Amelia Garcia"/>
        <s v="Alexander Clark"/>
        <s v="Mia Rodriguez"/>
        <s v="Michael Lewis"/>
        <s v="Harper Walker"/>
        <s v="Daniel Hall"/>
        <s v="Evelyn Allen"/>
        <s v="Matthew Young"/>
        <s v="Abigail King"/>
        <s v="Joseph Wright"/>
        <s v="Ella Scott"/>
        <s v="Samuel Green"/>
        <s v="Grace Adams"/>
        <s v="David Baker"/>
        <s v="Scarlett Nelson"/>
        <s v="Jackson Carter"/>
        <s v="Victoria Perez"/>
        <s v="Sebastian Murphy"/>
        <s v="Lily Roberts"/>
        <s v="Elijah Collins"/>
        <s v="Zoe Stewart"/>
        <s v="Lucas Rivera"/>
        <s v="Hannah Morris"/>
        <s v="Ethan Bell"/>
        <s v="Natalie Cooper"/>
        <s v="Christopher Reed"/>
        <s v="Lucy Cook"/>
        <s v="Andrew Bailey"/>
        <s v="Stella Richardson"/>
        <s v="Ryan Griffin"/>
        <s v="Bella Kelly"/>
        <s v="Joshua Hughes"/>
        <s v="Aurora Foster"/>
        <s v="Nathan Price"/>
        <s v="Leah Bennett"/>
        <s v="Caleb Patterson"/>
        <s v="Layla Sanders"/>
      </sharedItems>
    </cacheField>
    <cacheField name="City" numFmtId="0">
      <sharedItems count="6">
        <s v="Bhavanagar"/>
        <s v="Junagadh"/>
        <s v="Dubai"/>
        <s v="Ajkot"/>
        <s v="Mumbai"/>
        <s v="Bhavanagr"/>
      </sharedItems>
    </cacheField>
    <cacheField name="Gender" numFmtId="0">
      <sharedItems count="2">
        <s v="Female"/>
        <s v="Male"/>
      </sharedItems>
    </cacheField>
    <cacheField name="Age" numFmtId="0">
      <sharedItems containsSemiMixedTypes="0" containsString="0" containsNumber="1" containsInteger="1" minValue="18" maxValue="21" count="4">
        <n v="20"/>
        <n v="21"/>
        <n v="19"/>
        <n v="18"/>
      </sharedItems>
    </cacheField>
    <cacheField name="Subject 1" numFmtId="0">
      <sharedItems containsSemiMixedTypes="0" containsString="0" containsNumber="1" containsInteger="1" minValue="25" maxValue="98" count="23">
        <n v="89"/>
        <n v="78"/>
        <n v="54"/>
        <n v="58"/>
        <n v="36"/>
        <n v="45"/>
        <n v="72"/>
        <n v="75"/>
        <n v="87"/>
        <n v="79"/>
        <n v="52"/>
        <n v="96"/>
        <n v="94"/>
        <n v="65"/>
        <n v="48"/>
        <n v="26"/>
        <n v="84"/>
        <n v="35"/>
        <n v="46"/>
        <n v="85"/>
        <n v="66"/>
        <n v="98"/>
        <n v="25"/>
      </sharedItems>
    </cacheField>
    <cacheField name="Subject 2" numFmtId="0">
      <sharedItems containsSemiMixedTypes="0" containsString="0" containsNumber="1" containsInteger="1" minValue="21" maxValue="100"/>
    </cacheField>
    <cacheField name="Subject 3" numFmtId="0">
      <sharedItems containsSemiMixedTypes="0" containsString="0" containsNumber="1" containsInteger="1" minValue="35" maxValue="95"/>
    </cacheField>
    <cacheField name="Subject 4" numFmtId="0">
      <sharedItems containsSemiMixedTypes="0" containsString="0" containsNumber="1" containsInteger="1" minValue="32" maxValue="98"/>
    </cacheField>
    <cacheField name="Subject 5" numFmtId="0">
      <sharedItems containsSemiMixedTypes="0" containsString="0" containsNumber="1" containsInteger="1" minValue="24" maxValue="99"/>
    </cacheField>
    <cacheField name="Total" numFmtId="0">
      <sharedItems containsSemiMixedTypes="0" containsString="0" containsNumber="1" containsInteger="1" minValue="199" maxValue="403"/>
    </cacheField>
    <cacheField name="Average" numFmtId="0">
      <sharedItems containsSemiMixedTypes="0" containsString="0" containsNumber="1" minValue="39.799999999999997" maxValue="80.599999999999994"/>
    </cacheField>
    <cacheField name="Percantage" numFmtId="10">
      <sharedItems containsSemiMixedTypes="0" containsString="0" containsNumber="1" minValue="0.39800000000000002" maxValue="0.80600000000000005" count="46">
        <n v="0.442"/>
        <n v="0.56000000000000005"/>
        <n v="0.78"/>
        <n v="0.70799999999999996"/>
        <n v="0.502"/>
        <n v="0.65800000000000003"/>
        <n v="0.61199999999999999"/>
        <n v="0.51800000000000002"/>
        <n v="0.55800000000000005"/>
        <n v="0.66800000000000004"/>
        <n v="0.52400000000000002"/>
        <n v="0.68200000000000005"/>
        <n v="0.80600000000000005"/>
        <n v="0.59799999999999998"/>
        <n v="0.63600000000000001"/>
        <n v="0.67600000000000005"/>
        <n v="0.53200000000000003"/>
        <n v="0.54800000000000004"/>
        <n v="0.55400000000000005"/>
        <n v="0.64400000000000002"/>
        <n v="0.68"/>
        <n v="0.59"/>
        <n v="0.53"/>
        <n v="0.57199999999999995"/>
        <n v="0.74199999999999999"/>
        <n v="0.64800000000000002"/>
        <n v="0.69799999999999995"/>
        <n v="0.64200000000000002"/>
        <n v="0.68799999999999994"/>
        <n v="0.61799999999999999"/>
        <n v="0.56200000000000006"/>
        <n v="0.76600000000000001"/>
        <n v="0.496"/>
        <n v="0.44800000000000001"/>
        <n v="0.70399999999999996"/>
        <n v="0.39800000000000002"/>
        <n v="0.71199999999999997"/>
        <n v="0.77200000000000002"/>
        <n v="0.67"/>
        <n v="0.59199999999999997"/>
        <n v="0.61599999999999999"/>
        <n v="0.54"/>
        <n v="0.50800000000000001"/>
        <n v="0.56599999999999995"/>
        <n v="0.622"/>
        <n v="0.71"/>
      </sharedItems>
    </cacheField>
    <cacheField name="Greade" numFmtId="0">
      <sharedItems/>
    </cacheField>
  </cacheFields>
  <extLst>
    <ext xmlns:x14="http://schemas.microsoft.com/office/spreadsheetml/2009/9/main" uri="{725AE2AE-9491-48be-B2B4-4EB974FC3084}">
      <x14:pivotCacheDefinition pivotCacheId="1287914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38.891729861112" createdVersion="6" refreshedVersion="6" minRefreshableVersion="3" recordCount="50" xr:uid="{286FF638-4DAD-4D27-9DD7-F9CFA37764B7}">
  <cacheSource type="worksheet">
    <worksheetSource name="Table1"/>
  </cacheSource>
  <cacheFields count="16">
    <cacheField name="Sr No." numFmtId="0">
      <sharedItems containsSemiMixedTypes="0" containsString="0" containsNumber="1" containsInteger="1" minValue="1" maxValue="50"/>
    </cacheField>
    <cacheField name="Name" numFmtId="0">
      <sharedItems/>
    </cacheField>
    <cacheField name="City" numFmtId="0">
      <sharedItems count="6">
        <s v="Bhavanagar"/>
        <s v="Junagadh"/>
        <s v="Dubai"/>
        <s v="Ajkot"/>
        <s v="Mumbai"/>
        <s v="Bhavanagr"/>
      </sharedItems>
    </cacheField>
    <cacheField name="Gender" numFmtId="0">
      <sharedItems count="2">
        <s v="Female"/>
        <s v="Male"/>
      </sharedItems>
    </cacheField>
    <cacheField name="Age" numFmtId="0">
      <sharedItems containsSemiMixedTypes="0" containsString="0" containsNumber="1" containsInteger="1" minValue="18" maxValue="21"/>
    </cacheField>
    <cacheField name="Subject 1" numFmtId="0">
      <sharedItems containsSemiMixedTypes="0" containsString="0" containsNumber="1" containsInteger="1" minValue="25" maxValue="98"/>
    </cacheField>
    <cacheField name="Subject 2" numFmtId="0">
      <sharedItems containsSemiMixedTypes="0" containsString="0" containsNumber="1" containsInteger="1" minValue="20" maxValue="100"/>
    </cacheField>
    <cacheField name="Subject 3" numFmtId="0">
      <sharedItems containsSemiMixedTypes="0" containsString="0" containsNumber="1" containsInteger="1" minValue="36" maxValue="92"/>
    </cacheField>
    <cacheField name="Subject 4" numFmtId="0">
      <sharedItems containsSemiMixedTypes="0" containsString="0" containsNumber="1" containsInteger="1" minValue="30" maxValue="100"/>
    </cacheField>
    <cacheField name="Subject 5" numFmtId="0">
      <sharedItems containsSemiMixedTypes="0" containsString="0" containsNumber="1" containsInteger="1" minValue="21" maxValue="96"/>
    </cacheField>
    <cacheField name="Total" numFmtId="0">
      <sharedItems containsSemiMixedTypes="0" containsString="0" containsNumber="1" containsInteger="1" minValue="200" maxValue="418"/>
    </cacheField>
    <cacheField name="Average" numFmtId="0">
      <sharedItems containsSemiMixedTypes="0" containsString="0" containsNumber="1" minValue="40" maxValue="83.6"/>
    </cacheField>
    <cacheField name="Percantage" numFmtId="10">
      <sharedItems containsSemiMixedTypes="0" containsString="0" containsNumber="1" minValue="0.4" maxValue="0.83599999999999997"/>
    </cacheField>
    <cacheField name="Greade" numFmtId="0">
      <sharedItems/>
    </cacheField>
    <cacheField name="SparkLines" numFmtId="0">
      <sharedItems containsNonDate="0" containsString="0" containsBlank="1"/>
    </cacheField>
    <cacheField name="Column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x v="0"/>
    <x v="0"/>
    <x v="0"/>
    <x v="0"/>
    <x v="0"/>
    <n v="24"/>
    <n v="44"/>
    <n v="39"/>
    <n v="25"/>
    <n v="221"/>
    <n v="44.2"/>
    <x v="0"/>
    <s v="D"/>
  </r>
  <r>
    <n v="2"/>
    <x v="1"/>
    <x v="1"/>
    <x v="0"/>
    <x v="1"/>
    <x v="1"/>
    <n v="60"/>
    <n v="54"/>
    <n v="56"/>
    <n v="32"/>
    <n v="280"/>
    <n v="56"/>
    <x v="1"/>
    <s v="D"/>
  </r>
  <r>
    <n v="3"/>
    <x v="2"/>
    <x v="2"/>
    <x v="1"/>
    <x v="2"/>
    <x v="2"/>
    <n v="60"/>
    <n v="91"/>
    <n v="93"/>
    <n v="92"/>
    <n v="390"/>
    <n v="78"/>
    <x v="2"/>
    <s v="B"/>
  </r>
  <r>
    <n v="4"/>
    <x v="3"/>
    <x v="3"/>
    <x v="0"/>
    <x v="3"/>
    <x v="3"/>
    <n v="47"/>
    <n v="92"/>
    <n v="86"/>
    <n v="71"/>
    <n v="354"/>
    <n v="70.8"/>
    <x v="3"/>
    <s v="B"/>
  </r>
  <r>
    <n v="5"/>
    <x v="4"/>
    <x v="3"/>
    <x v="1"/>
    <x v="0"/>
    <x v="4"/>
    <n v="41"/>
    <n v="75"/>
    <n v="67"/>
    <n v="32"/>
    <n v="251"/>
    <n v="50.2"/>
    <x v="4"/>
    <s v="D"/>
  </r>
  <r>
    <n v="6"/>
    <x v="5"/>
    <x v="2"/>
    <x v="0"/>
    <x v="1"/>
    <x v="5"/>
    <n v="42"/>
    <n v="91"/>
    <n v="57"/>
    <n v="94"/>
    <n v="329"/>
    <n v="65.8"/>
    <x v="5"/>
    <s v="C"/>
  </r>
  <r>
    <n v="7"/>
    <x v="6"/>
    <x v="1"/>
    <x v="1"/>
    <x v="2"/>
    <x v="6"/>
    <n v="47"/>
    <n v="42"/>
    <n v="60"/>
    <n v="85"/>
    <n v="306"/>
    <n v="61.2"/>
    <x v="6"/>
    <s v="C"/>
  </r>
  <r>
    <n v="8"/>
    <x v="7"/>
    <x v="0"/>
    <x v="0"/>
    <x v="3"/>
    <x v="5"/>
    <n v="67"/>
    <n v="45"/>
    <n v="40"/>
    <n v="62"/>
    <n v="259"/>
    <n v="51.8"/>
    <x v="7"/>
    <s v="D"/>
  </r>
  <r>
    <n v="9"/>
    <x v="8"/>
    <x v="0"/>
    <x v="1"/>
    <x v="0"/>
    <x v="7"/>
    <n v="36"/>
    <n v="78"/>
    <n v="54"/>
    <n v="36"/>
    <n v="279"/>
    <n v="55.8"/>
    <x v="8"/>
    <s v="D"/>
  </r>
  <r>
    <n v="10"/>
    <x v="9"/>
    <x v="2"/>
    <x v="0"/>
    <x v="1"/>
    <x v="0"/>
    <n v="83"/>
    <n v="68"/>
    <n v="55"/>
    <n v="39"/>
    <n v="334"/>
    <n v="66.8"/>
    <x v="9"/>
    <s v="C"/>
  </r>
  <r>
    <n v="11"/>
    <x v="10"/>
    <x v="0"/>
    <x v="1"/>
    <x v="2"/>
    <x v="5"/>
    <n v="57"/>
    <n v="42"/>
    <n v="54"/>
    <n v="64"/>
    <n v="262"/>
    <n v="52.4"/>
    <x v="10"/>
    <s v="D"/>
  </r>
  <r>
    <n v="12"/>
    <x v="11"/>
    <x v="1"/>
    <x v="0"/>
    <x v="3"/>
    <x v="8"/>
    <n v="94"/>
    <n v="36"/>
    <n v="46"/>
    <n v="78"/>
    <n v="341"/>
    <n v="68.2"/>
    <x v="11"/>
    <s v="C"/>
  </r>
  <r>
    <n v="13"/>
    <x v="12"/>
    <x v="2"/>
    <x v="1"/>
    <x v="0"/>
    <x v="9"/>
    <n v="70"/>
    <n v="78"/>
    <n v="81"/>
    <n v="95"/>
    <n v="403"/>
    <n v="80.599999999999994"/>
    <x v="12"/>
    <s v="A"/>
  </r>
  <r>
    <n v="14"/>
    <x v="13"/>
    <x v="3"/>
    <x v="0"/>
    <x v="1"/>
    <x v="10"/>
    <n v="64"/>
    <n v="36"/>
    <n v="48"/>
    <n v="99"/>
    <n v="299"/>
    <n v="59.8"/>
    <x v="13"/>
    <s v="D"/>
  </r>
  <r>
    <n v="15"/>
    <x v="14"/>
    <x v="3"/>
    <x v="1"/>
    <x v="2"/>
    <x v="11"/>
    <n v="84"/>
    <n v="47"/>
    <n v="56"/>
    <n v="35"/>
    <n v="318"/>
    <n v="63.6"/>
    <x v="14"/>
    <s v="C"/>
  </r>
  <r>
    <n v="16"/>
    <x v="15"/>
    <x v="4"/>
    <x v="0"/>
    <x v="3"/>
    <x v="12"/>
    <n v="52"/>
    <n v="94"/>
    <n v="50"/>
    <n v="48"/>
    <n v="338"/>
    <n v="67.599999999999994"/>
    <x v="15"/>
    <s v="C"/>
  </r>
  <r>
    <n v="17"/>
    <x v="16"/>
    <x v="1"/>
    <x v="1"/>
    <x v="0"/>
    <x v="13"/>
    <n v="32"/>
    <n v="75"/>
    <n v="66"/>
    <n v="28"/>
    <n v="266"/>
    <n v="53.2"/>
    <x v="16"/>
    <s v="D"/>
  </r>
  <r>
    <n v="18"/>
    <x v="17"/>
    <x v="0"/>
    <x v="0"/>
    <x v="0"/>
    <x v="14"/>
    <n v="42"/>
    <n v="54"/>
    <n v="74"/>
    <n v="56"/>
    <n v="274"/>
    <n v="54.8"/>
    <x v="17"/>
    <s v="D"/>
  </r>
  <r>
    <n v="19"/>
    <x v="18"/>
    <x v="5"/>
    <x v="1"/>
    <x v="1"/>
    <x v="15"/>
    <n v="72"/>
    <n v="70"/>
    <n v="53"/>
    <n v="56"/>
    <n v="277"/>
    <n v="55.4"/>
    <x v="18"/>
    <s v="D"/>
  </r>
  <r>
    <n v="20"/>
    <x v="19"/>
    <x v="2"/>
    <x v="0"/>
    <x v="2"/>
    <x v="16"/>
    <n v="41"/>
    <n v="80"/>
    <n v="59"/>
    <n v="58"/>
    <n v="322"/>
    <n v="64.400000000000006"/>
    <x v="19"/>
    <s v="C"/>
  </r>
  <r>
    <n v="21"/>
    <x v="20"/>
    <x v="5"/>
    <x v="1"/>
    <x v="3"/>
    <x v="5"/>
    <n v="92"/>
    <n v="95"/>
    <n v="55"/>
    <n v="53"/>
    <n v="340"/>
    <n v="68"/>
    <x v="20"/>
    <s v="C"/>
  </r>
  <r>
    <n v="22"/>
    <x v="21"/>
    <x v="1"/>
    <x v="0"/>
    <x v="0"/>
    <x v="4"/>
    <n v="100"/>
    <n v="70"/>
    <n v="48"/>
    <n v="41"/>
    <n v="295"/>
    <n v="59"/>
    <x v="21"/>
    <s v="D"/>
  </r>
  <r>
    <n v="23"/>
    <x v="22"/>
    <x v="2"/>
    <x v="1"/>
    <x v="1"/>
    <x v="17"/>
    <n v="25"/>
    <n v="74"/>
    <n v="45"/>
    <n v="86"/>
    <n v="265"/>
    <n v="53"/>
    <x v="22"/>
    <s v="D"/>
  </r>
  <r>
    <n v="24"/>
    <x v="23"/>
    <x v="3"/>
    <x v="0"/>
    <x v="2"/>
    <x v="18"/>
    <n v="48"/>
    <n v="43"/>
    <n v="61"/>
    <n v="88"/>
    <n v="286"/>
    <n v="57.2"/>
    <x v="23"/>
    <s v="D"/>
  </r>
  <r>
    <n v="25"/>
    <x v="24"/>
    <x v="3"/>
    <x v="1"/>
    <x v="0"/>
    <x v="19"/>
    <n v="97"/>
    <n v="90"/>
    <n v="64"/>
    <n v="35"/>
    <n v="371"/>
    <n v="74.2"/>
    <x v="24"/>
    <s v="B"/>
  </r>
  <r>
    <n v="26"/>
    <x v="25"/>
    <x v="4"/>
    <x v="0"/>
    <x v="1"/>
    <x v="13"/>
    <n v="96"/>
    <n v="80"/>
    <n v="89"/>
    <n v="24"/>
    <n v="354"/>
    <n v="70.8"/>
    <x v="3"/>
    <s v="B"/>
  </r>
  <r>
    <n v="27"/>
    <x v="26"/>
    <x v="1"/>
    <x v="1"/>
    <x v="2"/>
    <x v="5"/>
    <n v="22"/>
    <n v="89"/>
    <n v="93"/>
    <n v="75"/>
    <n v="324"/>
    <n v="64.8"/>
    <x v="25"/>
    <s v="C"/>
  </r>
  <r>
    <n v="28"/>
    <x v="27"/>
    <x v="5"/>
    <x v="0"/>
    <x v="3"/>
    <x v="19"/>
    <n v="38"/>
    <n v="85"/>
    <n v="71"/>
    <n v="70"/>
    <n v="349"/>
    <n v="69.8"/>
    <x v="26"/>
    <s v="C"/>
  </r>
  <r>
    <n v="29"/>
    <x v="28"/>
    <x v="5"/>
    <x v="1"/>
    <x v="0"/>
    <x v="20"/>
    <n v="77"/>
    <n v="78"/>
    <n v="33"/>
    <n v="67"/>
    <n v="321"/>
    <n v="64.2"/>
    <x v="27"/>
    <s v="C"/>
  </r>
  <r>
    <n v="30"/>
    <x v="29"/>
    <x v="2"/>
    <x v="0"/>
    <x v="1"/>
    <x v="21"/>
    <n v="48"/>
    <n v="43"/>
    <n v="68"/>
    <n v="87"/>
    <n v="344"/>
    <n v="68.8"/>
    <x v="28"/>
    <s v="C"/>
  </r>
  <r>
    <n v="31"/>
    <x v="30"/>
    <x v="5"/>
    <x v="1"/>
    <x v="2"/>
    <x v="1"/>
    <n v="48"/>
    <n v="93"/>
    <n v="43"/>
    <n v="47"/>
    <n v="309"/>
    <n v="61.8"/>
    <x v="29"/>
    <s v="C"/>
  </r>
  <r>
    <n v="32"/>
    <x v="31"/>
    <x v="1"/>
    <x v="0"/>
    <x v="3"/>
    <x v="5"/>
    <n v="44"/>
    <n v="63"/>
    <n v="48"/>
    <n v="81"/>
    <n v="281"/>
    <n v="56.2"/>
    <x v="30"/>
    <s v="D"/>
  </r>
  <r>
    <n v="33"/>
    <x v="32"/>
    <x v="2"/>
    <x v="1"/>
    <x v="0"/>
    <x v="22"/>
    <n v="92"/>
    <n v="64"/>
    <n v="81"/>
    <n v="47"/>
    <n v="309"/>
    <n v="61.8"/>
    <x v="29"/>
    <s v="C"/>
  </r>
  <r>
    <n v="34"/>
    <x v="33"/>
    <x v="3"/>
    <x v="0"/>
    <x v="0"/>
    <x v="4"/>
    <n v="87"/>
    <n v="87"/>
    <n v="82"/>
    <n v="91"/>
    <n v="383"/>
    <n v="76.599999999999994"/>
    <x v="31"/>
    <s v="B"/>
  </r>
  <r>
    <n v="35"/>
    <x v="34"/>
    <x v="3"/>
    <x v="1"/>
    <x v="1"/>
    <x v="19"/>
    <n v="40"/>
    <n v="79"/>
    <n v="82"/>
    <n v="63"/>
    <n v="349"/>
    <n v="69.8"/>
    <x v="26"/>
    <s v="C"/>
  </r>
  <r>
    <n v="36"/>
    <x v="35"/>
    <x v="4"/>
    <x v="0"/>
    <x v="2"/>
    <x v="7"/>
    <n v="24"/>
    <n v="48"/>
    <n v="51"/>
    <n v="50"/>
    <n v="248"/>
    <n v="49.6"/>
    <x v="32"/>
    <s v="D"/>
  </r>
  <r>
    <n v="37"/>
    <x v="36"/>
    <x v="1"/>
    <x v="1"/>
    <x v="3"/>
    <x v="2"/>
    <n v="39"/>
    <n v="44"/>
    <n v="37"/>
    <n v="50"/>
    <n v="224"/>
    <n v="44.8"/>
    <x v="33"/>
    <s v="D"/>
  </r>
  <r>
    <n v="38"/>
    <x v="37"/>
    <x v="5"/>
    <x v="0"/>
    <x v="0"/>
    <x v="18"/>
    <n v="95"/>
    <n v="85"/>
    <n v="64"/>
    <n v="62"/>
    <n v="352"/>
    <n v="70.400000000000006"/>
    <x v="34"/>
    <s v="B"/>
  </r>
  <r>
    <n v="39"/>
    <x v="38"/>
    <x v="5"/>
    <x v="1"/>
    <x v="1"/>
    <x v="15"/>
    <n v="58"/>
    <n v="47"/>
    <n v="36"/>
    <n v="32"/>
    <n v="199"/>
    <n v="39.799999999999997"/>
    <x v="35"/>
    <s v="D"/>
  </r>
  <r>
    <n v="40"/>
    <x v="39"/>
    <x v="2"/>
    <x v="0"/>
    <x v="2"/>
    <x v="19"/>
    <n v="21"/>
    <n v="91"/>
    <n v="79"/>
    <n v="80"/>
    <n v="356"/>
    <n v="71.2"/>
    <x v="36"/>
    <s v="B"/>
  </r>
  <r>
    <n v="41"/>
    <x v="40"/>
    <x v="5"/>
    <x v="1"/>
    <x v="0"/>
    <x v="13"/>
    <n v="99"/>
    <n v="89"/>
    <n v="98"/>
    <n v="35"/>
    <n v="386"/>
    <n v="77.2"/>
    <x v="37"/>
    <s v="B"/>
  </r>
  <r>
    <n v="42"/>
    <x v="41"/>
    <x v="1"/>
    <x v="0"/>
    <x v="1"/>
    <x v="5"/>
    <n v="41"/>
    <n v="88"/>
    <n v="98"/>
    <n v="63"/>
    <n v="335"/>
    <n v="67"/>
    <x v="38"/>
    <s v="C"/>
  </r>
  <r>
    <n v="43"/>
    <x v="42"/>
    <x v="2"/>
    <x v="1"/>
    <x v="2"/>
    <x v="4"/>
    <n v="78"/>
    <n v="64"/>
    <n v="56"/>
    <n v="62"/>
    <n v="296"/>
    <n v="59.2"/>
    <x v="39"/>
    <s v="D"/>
  </r>
  <r>
    <n v="44"/>
    <x v="43"/>
    <x v="3"/>
    <x v="0"/>
    <x v="3"/>
    <x v="5"/>
    <n v="52"/>
    <n v="81"/>
    <n v="42"/>
    <n v="88"/>
    <n v="308"/>
    <n v="61.6"/>
    <x v="40"/>
    <s v="C"/>
  </r>
  <r>
    <n v="45"/>
    <x v="44"/>
    <x v="3"/>
    <x v="1"/>
    <x v="0"/>
    <x v="19"/>
    <n v="55"/>
    <n v="35"/>
    <n v="32"/>
    <n v="63"/>
    <n v="270"/>
    <n v="54"/>
    <x v="41"/>
    <s v="D"/>
  </r>
  <r>
    <n v="46"/>
    <x v="45"/>
    <x v="4"/>
    <x v="0"/>
    <x v="0"/>
    <x v="5"/>
    <n v="59"/>
    <n v="39"/>
    <n v="75"/>
    <n v="36"/>
    <n v="254"/>
    <n v="50.8"/>
    <x v="42"/>
    <s v="D"/>
  </r>
  <r>
    <n v="47"/>
    <x v="46"/>
    <x v="1"/>
    <x v="1"/>
    <x v="1"/>
    <x v="4"/>
    <n v="60"/>
    <n v="54"/>
    <n v="47"/>
    <n v="86"/>
    <n v="283"/>
    <n v="56.6"/>
    <x v="43"/>
    <s v="D"/>
  </r>
  <r>
    <n v="48"/>
    <x v="47"/>
    <x v="5"/>
    <x v="0"/>
    <x v="2"/>
    <x v="13"/>
    <n v="56"/>
    <n v="78"/>
    <n v="63"/>
    <n v="60"/>
    <n v="322"/>
    <n v="64.400000000000006"/>
    <x v="19"/>
    <s v="C"/>
  </r>
  <r>
    <n v="49"/>
    <x v="48"/>
    <x v="5"/>
    <x v="1"/>
    <x v="3"/>
    <x v="8"/>
    <n v="61"/>
    <n v="40"/>
    <n v="42"/>
    <n v="81"/>
    <n v="311"/>
    <n v="62.2"/>
    <x v="44"/>
    <s v="C"/>
  </r>
  <r>
    <n v="50"/>
    <x v="49"/>
    <x v="4"/>
    <x v="0"/>
    <x v="0"/>
    <x v="5"/>
    <n v="78"/>
    <n v="77"/>
    <n v="57"/>
    <n v="98"/>
    <n v="355"/>
    <n v="71"/>
    <x v="45"/>
    <s v="B"/>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John Smith"/>
    <x v="0"/>
    <x v="0"/>
    <n v="20"/>
    <n v="89"/>
    <n v="78"/>
    <n v="65"/>
    <n v="53"/>
    <n v="23"/>
    <n v="308"/>
    <n v="61.6"/>
    <n v="0.61599999999999999"/>
    <s v="C"/>
    <m/>
    <m/>
  </r>
  <r>
    <n v="2"/>
    <s v="Emma Johnson"/>
    <x v="1"/>
    <x v="0"/>
    <n v="21"/>
    <n v="78"/>
    <n v="67"/>
    <n v="49"/>
    <n v="89"/>
    <n v="52"/>
    <n v="335"/>
    <n v="67"/>
    <n v="0.67"/>
    <s v="C"/>
    <m/>
    <m/>
  </r>
  <r>
    <n v="3"/>
    <s v="Liam Brown"/>
    <x v="2"/>
    <x v="1"/>
    <n v="19"/>
    <n v="54"/>
    <n v="100"/>
    <n v="56"/>
    <n v="46"/>
    <n v="65"/>
    <n v="321"/>
    <n v="64.2"/>
    <n v="0.64200000000000002"/>
    <s v="C"/>
    <m/>
    <m/>
  </r>
  <r>
    <n v="4"/>
    <s v="Olivia Davis"/>
    <x v="3"/>
    <x v="0"/>
    <n v="18"/>
    <n v="58"/>
    <n v="60"/>
    <n v="86"/>
    <n v="36"/>
    <n v="32"/>
    <n v="272"/>
    <n v="54.4"/>
    <n v="0.54400000000000004"/>
    <s v="D"/>
    <m/>
    <m/>
  </r>
  <r>
    <n v="5"/>
    <s v="Noah Wilson"/>
    <x v="3"/>
    <x v="1"/>
    <n v="20"/>
    <n v="36"/>
    <n v="43"/>
    <n v="89"/>
    <n v="98"/>
    <n v="65"/>
    <n v="331"/>
    <n v="66.2"/>
    <n v="0.66200000000000003"/>
    <s v="C"/>
    <m/>
    <m/>
  </r>
  <r>
    <n v="6"/>
    <s v="Ava Martinez"/>
    <x v="2"/>
    <x v="0"/>
    <n v="21"/>
    <n v="45"/>
    <n v="51"/>
    <n v="41"/>
    <n v="42"/>
    <n v="69"/>
    <n v="248"/>
    <n v="49.6"/>
    <n v="0.496"/>
    <s v="D"/>
    <m/>
    <m/>
  </r>
  <r>
    <n v="7"/>
    <s v="William Anderson"/>
    <x v="1"/>
    <x v="1"/>
    <n v="19"/>
    <n v="72"/>
    <n v="92"/>
    <n v="68"/>
    <n v="69"/>
    <n v="33"/>
    <n v="334"/>
    <n v="66.8"/>
    <n v="0.66800000000000004"/>
    <s v="C"/>
    <m/>
    <m/>
  </r>
  <r>
    <n v="8"/>
    <s v="Sophia Taylor"/>
    <x v="0"/>
    <x v="0"/>
    <n v="18"/>
    <n v="45"/>
    <n v="93"/>
    <n v="40"/>
    <n v="92"/>
    <n v="27"/>
    <n v="297"/>
    <n v="59.4"/>
    <n v="0.59399999999999997"/>
    <s v="D"/>
    <m/>
    <m/>
  </r>
  <r>
    <n v="9"/>
    <s v="James Thomas"/>
    <x v="0"/>
    <x v="1"/>
    <n v="20"/>
    <n v="75"/>
    <n v="50"/>
    <n v="69"/>
    <n v="31"/>
    <n v="33"/>
    <n v="258"/>
    <n v="51.6"/>
    <n v="0.51600000000000001"/>
    <s v="D"/>
    <m/>
    <m/>
  </r>
  <r>
    <n v="10"/>
    <s v="Isabella White"/>
    <x v="2"/>
    <x v="0"/>
    <n v="21"/>
    <n v="89"/>
    <n v="78"/>
    <n v="42"/>
    <n v="92"/>
    <n v="83"/>
    <n v="384"/>
    <n v="76.8"/>
    <n v="0.76800000000000002"/>
    <s v="B"/>
    <m/>
    <m/>
  </r>
  <r>
    <n v="11"/>
    <s v="Benjamin Harris"/>
    <x v="0"/>
    <x v="1"/>
    <n v="19"/>
    <n v="45"/>
    <n v="37"/>
    <n v="77"/>
    <n v="41"/>
    <n v="39"/>
    <n v="239"/>
    <n v="47.8"/>
    <n v="0.47799999999999998"/>
    <s v="D"/>
    <m/>
    <m/>
  </r>
  <r>
    <n v="12"/>
    <s v="Charlotte Martin"/>
    <x v="1"/>
    <x v="0"/>
    <n v="18"/>
    <n v="87"/>
    <n v="98"/>
    <n v="88"/>
    <n v="52"/>
    <n v="93"/>
    <n v="418"/>
    <n v="83.6"/>
    <n v="0.83599999999999997"/>
    <s v="A"/>
    <m/>
    <m/>
  </r>
  <r>
    <n v="13"/>
    <s v="Henry Thompson"/>
    <x v="2"/>
    <x v="1"/>
    <n v="20"/>
    <n v="79"/>
    <n v="63"/>
    <n v="45"/>
    <n v="74"/>
    <n v="50"/>
    <n v="311"/>
    <n v="62.2"/>
    <n v="0.622"/>
    <s v="C"/>
    <m/>
    <m/>
  </r>
  <r>
    <n v="14"/>
    <s v="Amelia Garcia"/>
    <x v="3"/>
    <x v="0"/>
    <n v="21"/>
    <n v="52"/>
    <n v="43"/>
    <n v="60"/>
    <n v="52"/>
    <n v="56"/>
    <n v="263"/>
    <n v="52.6"/>
    <n v="0.52600000000000002"/>
    <s v="D"/>
    <m/>
    <m/>
  </r>
  <r>
    <n v="15"/>
    <s v="Alexander Clark"/>
    <x v="3"/>
    <x v="1"/>
    <n v="19"/>
    <n v="96"/>
    <n v="61"/>
    <n v="56"/>
    <n v="58"/>
    <n v="26"/>
    <n v="297"/>
    <n v="59.4"/>
    <n v="0.59399999999999997"/>
    <s v="D"/>
    <m/>
    <m/>
  </r>
  <r>
    <n v="16"/>
    <s v="Mia Rodriguez"/>
    <x v="4"/>
    <x v="0"/>
    <n v="18"/>
    <n v="94"/>
    <n v="56"/>
    <n v="70"/>
    <n v="47"/>
    <n v="52"/>
    <n v="319"/>
    <n v="63.8"/>
    <n v="0.63800000000000001"/>
    <s v="C"/>
    <m/>
    <m/>
  </r>
  <r>
    <n v="17"/>
    <s v="Michael Lewis"/>
    <x v="1"/>
    <x v="1"/>
    <n v="20"/>
    <n v="65"/>
    <n v="66"/>
    <n v="92"/>
    <n v="73"/>
    <n v="57"/>
    <n v="353"/>
    <n v="70.599999999999994"/>
    <n v="0.70599999999999996"/>
    <s v="B"/>
    <m/>
    <m/>
  </r>
  <r>
    <n v="18"/>
    <s v="Harper Walker"/>
    <x v="0"/>
    <x v="0"/>
    <n v="20"/>
    <n v="48"/>
    <n v="74"/>
    <n v="77"/>
    <n v="61"/>
    <n v="47"/>
    <n v="307"/>
    <n v="61.4"/>
    <n v="0.61399999999999999"/>
    <s v="C"/>
    <m/>
    <m/>
  </r>
  <r>
    <n v="19"/>
    <s v="Daniel Hall"/>
    <x v="5"/>
    <x v="1"/>
    <n v="21"/>
    <n v="26"/>
    <n v="31"/>
    <n v="43"/>
    <n v="98"/>
    <n v="58"/>
    <n v="256"/>
    <n v="51.2"/>
    <n v="0.51200000000000001"/>
    <s v="D"/>
    <m/>
    <m/>
  </r>
  <r>
    <n v="20"/>
    <s v="Evelyn Allen"/>
    <x v="2"/>
    <x v="0"/>
    <n v="19"/>
    <n v="84"/>
    <n v="68"/>
    <n v="62"/>
    <n v="76"/>
    <n v="24"/>
    <n v="314"/>
    <n v="62.8"/>
    <n v="0.628"/>
    <s v="C"/>
    <m/>
    <m/>
  </r>
  <r>
    <n v="21"/>
    <s v="Matthew Young"/>
    <x v="5"/>
    <x v="1"/>
    <n v="18"/>
    <n v="45"/>
    <n v="90"/>
    <n v="84"/>
    <n v="39"/>
    <n v="94"/>
    <n v="352"/>
    <n v="70.400000000000006"/>
    <n v="0.70399999999999996"/>
    <s v="B"/>
    <m/>
    <m/>
  </r>
  <r>
    <n v="22"/>
    <s v="Abigail King"/>
    <x v="1"/>
    <x v="0"/>
    <n v="20"/>
    <n v="36"/>
    <n v="25"/>
    <n v="92"/>
    <n v="60"/>
    <n v="76"/>
    <n v="289"/>
    <n v="57.8"/>
    <n v="0.57799999999999996"/>
    <s v="D"/>
    <m/>
    <m/>
  </r>
  <r>
    <n v="23"/>
    <s v="Joseph Wright"/>
    <x v="2"/>
    <x v="1"/>
    <n v="21"/>
    <n v="35"/>
    <n v="41"/>
    <n v="56"/>
    <n v="35"/>
    <n v="47"/>
    <n v="214"/>
    <n v="42.8"/>
    <n v="0.42799999999999999"/>
    <s v="D"/>
    <m/>
    <m/>
  </r>
  <r>
    <n v="24"/>
    <s v="Ella Scott"/>
    <x v="3"/>
    <x v="0"/>
    <n v="19"/>
    <n v="46"/>
    <n v="40"/>
    <n v="68"/>
    <n v="55"/>
    <n v="88"/>
    <n v="297"/>
    <n v="59.4"/>
    <n v="0.59399999999999997"/>
    <s v="D"/>
    <m/>
    <m/>
  </r>
  <r>
    <n v="25"/>
    <s v="Samuel Green"/>
    <x v="3"/>
    <x v="1"/>
    <n v="20"/>
    <n v="85"/>
    <n v="57"/>
    <n v="43"/>
    <n v="37"/>
    <n v="90"/>
    <n v="312"/>
    <n v="62.4"/>
    <n v="0.624"/>
    <s v="C"/>
    <m/>
    <m/>
  </r>
  <r>
    <n v="26"/>
    <s v="Grace Adams"/>
    <x v="4"/>
    <x v="0"/>
    <n v="21"/>
    <n v="65"/>
    <n v="38"/>
    <n v="53"/>
    <n v="30"/>
    <n v="82"/>
    <n v="268"/>
    <n v="53.6"/>
    <n v="0.53600000000000003"/>
    <s v="D"/>
    <m/>
    <m/>
  </r>
  <r>
    <n v="27"/>
    <s v="David Baker"/>
    <x v="1"/>
    <x v="1"/>
    <n v="19"/>
    <n v="45"/>
    <n v="34"/>
    <n v="44"/>
    <n v="72"/>
    <n v="87"/>
    <n v="282"/>
    <n v="56.4"/>
    <n v="0.56399999999999995"/>
    <s v="D"/>
    <m/>
    <m/>
  </r>
  <r>
    <n v="28"/>
    <s v="Scarlett Nelson"/>
    <x v="5"/>
    <x v="0"/>
    <n v="18"/>
    <n v="85"/>
    <n v="33"/>
    <n v="83"/>
    <n v="43"/>
    <n v="44"/>
    <n v="288"/>
    <n v="57.6"/>
    <n v="0.57599999999999996"/>
    <s v="D"/>
    <m/>
    <m/>
  </r>
  <r>
    <n v="29"/>
    <s v="Jackson Carter"/>
    <x v="5"/>
    <x v="1"/>
    <n v="20"/>
    <n v="66"/>
    <n v="24"/>
    <n v="56"/>
    <n v="87"/>
    <n v="47"/>
    <n v="280"/>
    <n v="56"/>
    <n v="0.56000000000000005"/>
    <s v="D"/>
    <m/>
    <m/>
  </r>
  <r>
    <n v="30"/>
    <s v="Victoria Perez"/>
    <x v="2"/>
    <x v="0"/>
    <n v="21"/>
    <n v="98"/>
    <n v="24"/>
    <n v="39"/>
    <n v="91"/>
    <n v="28"/>
    <n v="280"/>
    <n v="56"/>
    <n v="0.56000000000000005"/>
    <s v="D"/>
    <m/>
    <m/>
  </r>
  <r>
    <n v="31"/>
    <s v="Sebastian Murphy"/>
    <x v="5"/>
    <x v="1"/>
    <n v="19"/>
    <n v="78"/>
    <n v="55"/>
    <n v="78"/>
    <n v="64"/>
    <n v="86"/>
    <n v="361"/>
    <n v="72.2"/>
    <n v="0.72199999999999998"/>
    <s v="B"/>
    <m/>
    <m/>
  </r>
  <r>
    <n v="32"/>
    <s v="Lily Roberts"/>
    <x v="1"/>
    <x v="0"/>
    <n v="18"/>
    <n v="45"/>
    <n v="37"/>
    <n v="37"/>
    <n v="51"/>
    <n v="77"/>
    <n v="247"/>
    <n v="49.4"/>
    <n v="0.49399999999999999"/>
    <s v="D"/>
    <m/>
    <m/>
  </r>
  <r>
    <n v="33"/>
    <s v="Elijah Collins"/>
    <x v="2"/>
    <x v="1"/>
    <n v="20"/>
    <n v="25"/>
    <n v="53"/>
    <n v="57"/>
    <n v="75"/>
    <n v="64"/>
    <n v="274"/>
    <n v="54.8"/>
    <n v="0.54800000000000004"/>
    <s v="D"/>
    <m/>
    <m/>
  </r>
  <r>
    <n v="34"/>
    <s v="Zoe Stewart"/>
    <x v="3"/>
    <x v="0"/>
    <n v="20"/>
    <n v="36"/>
    <n v="24"/>
    <n v="81"/>
    <n v="75"/>
    <n v="95"/>
    <n v="311"/>
    <n v="62.2"/>
    <n v="0.622"/>
    <s v="C"/>
    <m/>
    <m/>
  </r>
  <r>
    <n v="35"/>
    <s v="Lucas Rivera"/>
    <x v="3"/>
    <x v="1"/>
    <n v="21"/>
    <n v="85"/>
    <n v="36"/>
    <n v="39"/>
    <n v="96"/>
    <n v="96"/>
    <n v="352"/>
    <n v="70.400000000000006"/>
    <n v="0.70399999999999996"/>
    <s v="B"/>
    <m/>
    <m/>
  </r>
  <r>
    <n v="36"/>
    <s v="Hannah Morris"/>
    <x v="4"/>
    <x v="0"/>
    <n v="19"/>
    <n v="75"/>
    <n v="24"/>
    <n v="59"/>
    <n v="82"/>
    <n v="71"/>
    <n v="311"/>
    <n v="62.2"/>
    <n v="0.622"/>
    <s v="C"/>
    <m/>
    <m/>
  </r>
  <r>
    <n v="37"/>
    <s v="Ethan Bell"/>
    <x v="1"/>
    <x v="1"/>
    <n v="18"/>
    <n v="54"/>
    <n v="45"/>
    <n v="36"/>
    <n v="58"/>
    <n v="26"/>
    <n v="219"/>
    <n v="43.8"/>
    <n v="0.438"/>
    <s v="D"/>
    <m/>
    <m/>
  </r>
  <r>
    <n v="38"/>
    <s v="Natalie Cooper"/>
    <x v="5"/>
    <x v="0"/>
    <n v="20"/>
    <n v="46"/>
    <n v="42"/>
    <n v="48"/>
    <n v="39"/>
    <n v="25"/>
    <n v="200"/>
    <n v="40"/>
    <n v="0.4"/>
    <s v="D"/>
    <m/>
    <m/>
  </r>
  <r>
    <n v="39"/>
    <s v="Christopher Reed"/>
    <x v="5"/>
    <x v="1"/>
    <n v="21"/>
    <n v="26"/>
    <n v="59"/>
    <n v="55"/>
    <n v="64"/>
    <n v="43"/>
    <n v="247"/>
    <n v="49.4"/>
    <n v="0.49399999999999999"/>
    <s v="D"/>
    <m/>
    <m/>
  </r>
  <r>
    <n v="40"/>
    <s v="Lucy Cook"/>
    <x v="2"/>
    <x v="0"/>
    <n v="19"/>
    <n v="85"/>
    <n v="90"/>
    <n v="70"/>
    <n v="67"/>
    <n v="81"/>
    <n v="393"/>
    <n v="78.599999999999994"/>
    <n v="0.78600000000000003"/>
    <s v="B"/>
    <m/>
    <m/>
  </r>
  <r>
    <n v="41"/>
    <s v="Andrew Bailey"/>
    <x v="5"/>
    <x v="1"/>
    <n v="20"/>
    <n v="65"/>
    <n v="20"/>
    <n v="83"/>
    <n v="39"/>
    <n v="21"/>
    <n v="228"/>
    <n v="45.6"/>
    <n v="0.45600000000000002"/>
    <s v="D"/>
    <m/>
    <m/>
  </r>
  <r>
    <n v="42"/>
    <s v="Stella Richardson"/>
    <x v="1"/>
    <x v="0"/>
    <n v="21"/>
    <n v="45"/>
    <n v="96"/>
    <n v="79"/>
    <n v="90"/>
    <n v="30"/>
    <n v="340"/>
    <n v="68"/>
    <n v="0.68"/>
    <s v="C"/>
    <m/>
    <m/>
  </r>
  <r>
    <n v="43"/>
    <s v="Ryan Griffin"/>
    <x v="2"/>
    <x v="1"/>
    <n v="19"/>
    <n v="36"/>
    <n v="36"/>
    <n v="92"/>
    <n v="100"/>
    <n v="71"/>
    <n v="335"/>
    <n v="67"/>
    <n v="0.67"/>
    <s v="C"/>
    <m/>
    <m/>
  </r>
  <r>
    <n v="44"/>
    <s v="Bella Kelly"/>
    <x v="3"/>
    <x v="0"/>
    <n v="18"/>
    <n v="45"/>
    <n v="32"/>
    <n v="70"/>
    <n v="72"/>
    <n v="53"/>
    <n v="272"/>
    <n v="54.4"/>
    <n v="0.54400000000000004"/>
    <s v="D"/>
    <m/>
    <m/>
  </r>
  <r>
    <n v="45"/>
    <s v="Joshua Hughes"/>
    <x v="3"/>
    <x v="1"/>
    <n v="20"/>
    <n v="85"/>
    <n v="63"/>
    <n v="58"/>
    <n v="92"/>
    <n v="43"/>
    <n v="341"/>
    <n v="68.2"/>
    <n v="0.68200000000000005"/>
    <s v="C"/>
    <m/>
    <m/>
  </r>
  <r>
    <n v="46"/>
    <s v="Aurora Foster"/>
    <x v="4"/>
    <x v="0"/>
    <n v="20"/>
    <n v="45"/>
    <n v="89"/>
    <n v="70"/>
    <n v="92"/>
    <n v="60"/>
    <n v="356"/>
    <n v="71.2"/>
    <n v="0.71199999999999997"/>
    <s v="B"/>
    <m/>
    <m/>
  </r>
  <r>
    <n v="47"/>
    <s v="Nathan Price"/>
    <x v="1"/>
    <x v="1"/>
    <n v="21"/>
    <n v="36"/>
    <n v="87"/>
    <n v="45"/>
    <n v="42"/>
    <n v="24"/>
    <n v="234"/>
    <n v="46.8"/>
    <n v="0.46800000000000003"/>
    <s v="D"/>
    <m/>
    <m/>
  </r>
  <r>
    <n v="48"/>
    <s v="Leah Bennett"/>
    <x v="5"/>
    <x v="0"/>
    <n v="19"/>
    <n v="65"/>
    <n v="85"/>
    <n v="90"/>
    <n v="74"/>
    <n v="46"/>
    <n v="360"/>
    <n v="72"/>
    <n v="0.72"/>
    <s v="B"/>
    <m/>
    <m/>
  </r>
  <r>
    <n v="49"/>
    <s v="Caleb Patterson"/>
    <x v="5"/>
    <x v="1"/>
    <n v="18"/>
    <n v="87"/>
    <n v="41"/>
    <n v="82"/>
    <n v="76"/>
    <n v="86"/>
    <n v="372"/>
    <n v="74.400000000000006"/>
    <n v="0.74399999999999999"/>
    <s v="B"/>
    <m/>
    <m/>
  </r>
  <r>
    <n v="50"/>
    <s v="Layla Sanders"/>
    <x v="4"/>
    <x v="0"/>
    <n v="20"/>
    <n v="45"/>
    <n v="21"/>
    <n v="64"/>
    <n v="80"/>
    <n v="90"/>
    <n v="300"/>
    <n v="60"/>
    <n v="0.6"/>
    <s v="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A59112-8740-4FDD-9C8B-49711FD3D3C3}" name="PivotTable5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C31" firstHeaderRow="0" firstDataRow="1" firstDataCol="1" rowPageCount="1" colPageCount="1"/>
  <pivotFields count="14">
    <pivotField showAll="0"/>
    <pivotField axis="axisRow" showAll="0">
      <items count="51">
        <item x="21"/>
        <item x="14"/>
        <item x="13"/>
        <item x="40"/>
        <item x="45"/>
        <item x="5"/>
        <item x="43"/>
        <item x="10"/>
        <item x="48"/>
        <item x="11"/>
        <item x="38"/>
        <item x="18"/>
        <item x="26"/>
        <item x="32"/>
        <item x="23"/>
        <item x="1"/>
        <item x="36"/>
        <item x="19"/>
        <item x="25"/>
        <item x="35"/>
        <item x="17"/>
        <item x="12"/>
        <item x="9"/>
        <item x="28"/>
        <item x="8"/>
        <item x="0"/>
        <item x="22"/>
        <item x="44"/>
        <item x="49"/>
        <item x="47"/>
        <item x="2"/>
        <item x="31"/>
        <item x="34"/>
        <item x="39"/>
        <item x="20"/>
        <item x="15"/>
        <item x="16"/>
        <item x="37"/>
        <item x="46"/>
        <item x="4"/>
        <item x="3"/>
        <item x="42"/>
        <item x="24"/>
        <item x="27"/>
        <item x="30"/>
        <item x="7"/>
        <item x="41"/>
        <item x="29"/>
        <item x="6"/>
        <item x="33"/>
        <item t="default"/>
      </items>
    </pivotField>
    <pivotField showAll="0"/>
    <pivotField axis="axisPage" showAll="0">
      <items count="3">
        <item x="0"/>
        <item x="1"/>
        <item t="default"/>
      </items>
    </pivotField>
    <pivotField showAll="0">
      <items count="5">
        <item x="3"/>
        <item x="2"/>
        <item x="0"/>
        <item x="1"/>
        <item t="default"/>
      </items>
    </pivotField>
    <pivotField dataField="1" showAll="0"/>
    <pivotField dataField="1" showAll="0"/>
    <pivotField showAll="0"/>
    <pivotField showAll="0"/>
    <pivotField showAll="0"/>
    <pivotField showAll="0"/>
    <pivotField showAll="0"/>
    <pivotField numFmtId="10" showAll="0"/>
    <pivotField showAll="0"/>
  </pivotFields>
  <rowFields count="1">
    <field x="1"/>
  </rowFields>
  <rowItems count="27">
    <i>
      <x/>
    </i>
    <i>
      <x v="2"/>
    </i>
    <i>
      <x v="4"/>
    </i>
    <i>
      <x v="5"/>
    </i>
    <i>
      <x v="6"/>
    </i>
    <i>
      <x v="9"/>
    </i>
    <i>
      <x v="14"/>
    </i>
    <i>
      <x v="15"/>
    </i>
    <i>
      <x v="17"/>
    </i>
    <i>
      <x v="18"/>
    </i>
    <i>
      <x v="19"/>
    </i>
    <i>
      <x v="20"/>
    </i>
    <i>
      <x v="22"/>
    </i>
    <i>
      <x v="25"/>
    </i>
    <i>
      <x v="28"/>
    </i>
    <i>
      <x v="29"/>
    </i>
    <i>
      <x v="31"/>
    </i>
    <i>
      <x v="33"/>
    </i>
    <i>
      <x v="35"/>
    </i>
    <i>
      <x v="37"/>
    </i>
    <i>
      <x v="40"/>
    </i>
    <i>
      <x v="43"/>
    </i>
    <i>
      <x v="45"/>
    </i>
    <i>
      <x v="46"/>
    </i>
    <i>
      <x v="47"/>
    </i>
    <i>
      <x v="49"/>
    </i>
    <i t="grand">
      <x/>
    </i>
  </rowItems>
  <colFields count="1">
    <field x="-2"/>
  </colFields>
  <colItems count="2">
    <i>
      <x/>
    </i>
    <i i="1">
      <x v="1"/>
    </i>
  </colItems>
  <pageFields count="1">
    <pageField fld="3" item="0" hier="-1"/>
  </pageFields>
  <dataFields count="2">
    <dataField name="Sum of Subject 1" fld="5" baseField="0" baseItem="0"/>
    <dataField name="Sum of Subject 2"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44F831-0FF5-4851-8603-15F0606A17F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C5:D32" firstHeaderRow="1" firstDataRow="1" firstDataCol="1" rowPageCount="1" colPageCount="1"/>
  <pivotFields count="14">
    <pivotField showAll="0"/>
    <pivotField axis="axisRow" dataField="1" showAll="0">
      <items count="51">
        <item x="21"/>
        <item x="14"/>
        <item x="13"/>
        <item x="40"/>
        <item x="45"/>
        <item x="5"/>
        <item x="43"/>
        <item x="10"/>
        <item x="48"/>
        <item x="11"/>
        <item x="38"/>
        <item x="18"/>
        <item x="26"/>
        <item x="32"/>
        <item x="23"/>
        <item x="1"/>
        <item x="36"/>
        <item x="19"/>
        <item x="25"/>
        <item x="35"/>
        <item x="17"/>
        <item x="12"/>
        <item x="9"/>
        <item x="28"/>
        <item x="8"/>
        <item x="0"/>
        <item x="22"/>
        <item x="44"/>
        <item x="49"/>
        <item x="47"/>
        <item x="2"/>
        <item x="31"/>
        <item x="34"/>
        <item x="39"/>
        <item x="20"/>
        <item x="15"/>
        <item x="16"/>
        <item x="37"/>
        <item x="46"/>
        <item x="4"/>
        <item x="3"/>
        <item x="42"/>
        <item x="24"/>
        <item x="27"/>
        <item x="30"/>
        <item x="7"/>
        <item x="41"/>
        <item x="29"/>
        <item x="6"/>
        <item x="33"/>
        <item t="default"/>
      </items>
    </pivotField>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 numFmtId="10" showAll="0">
      <items count="47">
        <item x="35"/>
        <item x="0"/>
        <item x="33"/>
        <item x="32"/>
        <item x="4"/>
        <item x="42"/>
        <item x="7"/>
        <item x="10"/>
        <item x="22"/>
        <item x="16"/>
        <item x="41"/>
        <item x="17"/>
        <item x="18"/>
        <item x="8"/>
        <item x="1"/>
        <item x="30"/>
        <item x="43"/>
        <item x="23"/>
        <item x="21"/>
        <item x="39"/>
        <item x="13"/>
        <item x="6"/>
        <item x="40"/>
        <item x="29"/>
        <item x="44"/>
        <item x="14"/>
        <item x="27"/>
        <item x="19"/>
        <item x="25"/>
        <item x="5"/>
        <item x="9"/>
        <item x="38"/>
        <item x="15"/>
        <item x="20"/>
        <item x="11"/>
        <item x="28"/>
        <item x="26"/>
        <item x="34"/>
        <item x="3"/>
        <item x="45"/>
        <item x="36"/>
        <item x="24"/>
        <item x="31"/>
        <item x="37"/>
        <item x="2"/>
        <item x="12"/>
        <item t="default"/>
      </items>
    </pivotField>
    <pivotField showAll="0"/>
  </pivotFields>
  <rowFields count="1">
    <field x="1"/>
  </rowFields>
  <rowItems count="27">
    <i>
      <x/>
    </i>
    <i>
      <x v="2"/>
    </i>
    <i>
      <x v="4"/>
    </i>
    <i>
      <x v="5"/>
    </i>
    <i>
      <x v="6"/>
    </i>
    <i>
      <x v="9"/>
    </i>
    <i>
      <x v="14"/>
    </i>
    <i>
      <x v="15"/>
    </i>
    <i>
      <x v="17"/>
    </i>
    <i>
      <x v="18"/>
    </i>
    <i>
      <x v="19"/>
    </i>
    <i>
      <x v="20"/>
    </i>
    <i>
      <x v="22"/>
    </i>
    <i>
      <x v="25"/>
    </i>
    <i>
      <x v="28"/>
    </i>
    <i>
      <x v="29"/>
    </i>
    <i>
      <x v="31"/>
    </i>
    <i>
      <x v="33"/>
    </i>
    <i>
      <x v="35"/>
    </i>
    <i>
      <x v="37"/>
    </i>
    <i>
      <x v="40"/>
    </i>
    <i>
      <x v="43"/>
    </i>
    <i>
      <x v="45"/>
    </i>
    <i>
      <x v="46"/>
    </i>
    <i>
      <x v="47"/>
    </i>
    <i>
      <x v="49"/>
    </i>
    <i t="grand">
      <x/>
    </i>
  </rowItems>
  <colItems count="1">
    <i/>
  </colItems>
  <pageFields count="1">
    <pageField fld="3" item="0" hier="-1"/>
  </pageFields>
  <dataFields count="1">
    <dataField name="Count of Name"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105EF3-381F-4A82-B599-CB94F3E38F56}"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F5:G11" firstHeaderRow="1" firstDataRow="1" firstDataCol="1" rowPageCount="1" colPageCount="1"/>
  <pivotFields count="14">
    <pivotField showAll="0"/>
    <pivotField showAll="0">
      <items count="51">
        <item x="21"/>
        <item x="14"/>
        <item x="13"/>
        <item x="40"/>
        <item x="45"/>
        <item x="5"/>
        <item x="43"/>
        <item x="10"/>
        <item x="48"/>
        <item x="11"/>
        <item x="38"/>
        <item x="18"/>
        <item x="26"/>
        <item x="32"/>
        <item x="23"/>
        <item x="1"/>
        <item x="36"/>
        <item x="19"/>
        <item x="25"/>
        <item x="35"/>
        <item x="17"/>
        <item x="12"/>
        <item x="9"/>
        <item x="28"/>
        <item x="8"/>
        <item x="0"/>
        <item x="22"/>
        <item x="44"/>
        <item x="49"/>
        <item x="47"/>
        <item x="2"/>
        <item x="31"/>
        <item x="34"/>
        <item x="39"/>
        <item x="20"/>
        <item x="15"/>
        <item x="16"/>
        <item x="37"/>
        <item x="46"/>
        <item x="4"/>
        <item x="3"/>
        <item x="42"/>
        <item x="24"/>
        <item x="27"/>
        <item x="30"/>
        <item x="7"/>
        <item x="41"/>
        <item x="29"/>
        <item x="6"/>
        <item x="33"/>
        <item t="default"/>
      </items>
    </pivotField>
    <pivotField axis="axisRow" showAll="0">
      <items count="7">
        <item x="3"/>
        <item x="0"/>
        <item x="5"/>
        <item x="2"/>
        <item x="1"/>
        <item x="4"/>
        <item t="default"/>
      </items>
    </pivotField>
    <pivotField axis="axisPage" dataField="1" showAll="0">
      <items count="3">
        <item x="0"/>
        <item x="1"/>
        <item t="default"/>
      </items>
    </pivotField>
    <pivotField showAll="0"/>
    <pivotField showAll="0"/>
    <pivotField showAll="0"/>
    <pivotField showAll="0"/>
    <pivotField showAll="0"/>
    <pivotField showAll="0"/>
    <pivotField showAll="0"/>
    <pivotField showAll="0"/>
    <pivotField numFmtId="10" showAll="0"/>
    <pivotField showAll="0"/>
  </pivotFields>
  <rowFields count="1">
    <field x="2"/>
  </rowFields>
  <rowItems count="6">
    <i>
      <x/>
    </i>
    <i>
      <x v="1"/>
    </i>
    <i>
      <x v="2"/>
    </i>
    <i>
      <x v="3"/>
    </i>
    <i>
      <x v="4"/>
    </i>
    <i t="grand">
      <x/>
    </i>
  </rowItems>
  <colItems count="1">
    <i/>
  </colItems>
  <pageFields count="1">
    <pageField fld="3" item="1" hier="-1"/>
  </pageFields>
  <dataFields count="1">
    <dataField name="Count of Gender" fld="3" subtotal="count" baseField="0" baseItem="0"/>
  </dataFields>
  <formats count="5">
    <format dxfId="49">
      <pivotArea field="2" type="button" dataOnly="0" labelOnly="1" outline="0" axis="axisRow" fieldPosition="0"/>
    </format>
    <format dxfId="48">
      <pivotArea field="2" type="button" dataOnly="0" labelOnly="1" outline="0" axis="axisRow" fieldPosition="0"/>
    </format>
    <format dxfId="47">
      <pivotArea dataOnly="0" outline="0" axis="axisValues" fieldPosition="0"/>
    </format>
    <format dxfId="46">
      <pivotArea grandRow="1" outline="0" collapsedLevelsAreSubtotals="1" fieldPosition="0"/>
    </format>
    <format dxfId="45">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Dark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23C36B-BD67-46CD-96C8-2AEF70ACEE35}" name="PivotTable15" cacheId="2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2">
  <location ref="A3:C10" firstHeaderRow="1" firstDataRow="2" firstDataCol="1"/>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3"/>
        <item x="0"/>
        <item x="5"/>
        <item x="2"/>
        <item x="1"/>
        <item x="4"/>
      </items>
      <extLst>
        <ext xmlns:x14="http://schemas.microsoft.com/office/spreadsheetml/2009/9/main" uri="{2946ED86-A175-432a-8AC1-64E0C546D7DE}">
          <x14:pivotField fillDownLabels="1"/>
        </ext>
      </extLst>
    </pivotField>
    <pivotField axis="axisCol"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6">
    <i>
      <x/>
    </i>
    <i>
      <x v="1"/>
    </i>
    <i>
      <x v="2"/>
    </i>
    <i>
      <x v="3"/>
    </i>
    <i>
      <x v="4"/>
    </i>
    <i>
      <x v="5"/>
    </i>
  </rowItems>
  <colFields count="1">
    <field x="3"/>
  </colFields>
  <colItems count="2">
    <i>
      <x/>
    </i>
    <i>
      <x v="1"/>
    </i>
  </colItems>
  <dataFields count="1">
    <dataField name="Average of Percantage" fld="12" subtotal="average" baseField="0" baseItem="0"/>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DACACF4-1D31-4CA6-9BA7-48895D4775BF}" sourceName="Gender">
  <pivotTables>
    <pivotTable tabId="9" name="PivotTable2"/>
  </pivotTables>
  <data>
    <tabular pivotCacheId="12879147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CA3EC84E-B224-4974-8E26-6A6A7E5DACAC}" sourceName="Name">
  <pivotTables>
    <pivotTable tabId="12" name="PivotTable5"/>
  </pivotTables>
  <data>
    <tabular pivotCacheId="128791479">
      <items count="50">
        <i x="14" s="1"/>
        <i x="40" s="1"/>
        <i x="10" s="1"/>
        <i x="48" s="1"/>
        <i x="38" s="1"/>
        <i x="18" s="1"/>
        <i x="26" s="1"/>
        <i x="32" s="1"/>
        <i x="36" s="1"/>
        <i x="12" s="1"/>
        <i x="28" s="1"/>
        <i x="8" s="1"/>
        <i x="22" s="1"/>
        <i x="44" s="1"/>
        <i x="2" s="1"/>
        <i x="34" s="1"/>
        <i x="20" s="1"/>
        <i x="16" s="1"/>
        <i x="46" s="1"/>
        <i x="4" s="1"/>
        <i x="42" s="1"/>
        <i x="24" s="1"/>
        <i x="30" s="1"/>
        <i x="6" s="1"/>
        <i x="21" s="1" nd="1"/>
        <i x="13" s="1" nd="1"/>
        <i x="45" s="1" nd="1"/>
        <i x="5" s="1" nd="1"/>
        <i x="43" s="1" nd="1"/>
        <i x="11" s="1" nd="1"/>
        <i x="23" s="1" nd="1"/>
        <i x="1" s="1" nd="1"/>
        <i x="19" s="1" nd="1"/>
        <i x="25" s="1" nd="1"/>
        <i x="35" s="1" nd="1"/>
        <i x="17" s="1" nd="1"/>
        <i x="9" s="1" nd="1"/>
        <i x="0" s="1" nd="1"/>
        <i x="49" s="1" nd="1"/>
        <i x="47" s="1" nd="1"/>
        <i x="31" s="1" nd="1"/>
        <i x="39" s="1" nd="1"/>
        <i x="15" s="1" nd="1"/>
        <i x="37" s="1" nd="1"/>
        <i x="3" s="1" nd="1"/>
        <i x="27" s="1" nd="1"/>
        <i x="7" s="1" nd="1"/>
        <i x="41" s="1" nd="1"/>
        <i x="29" s="1" nd="1"/>
        <i x="3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6C58AFE-B1B4-4BBE-9A92-5F0060B9575E}" sourceName="City">
  <pivotTables>
    <pivotTable tabId="12" name="PivotTable5"/>
  </pivotTables>
  <data>
    <tabular pivotCacheId="128791479">
      <items count="6">
        <i x="3" s="1"/>
        <i x="0" s="1"/>
        <i x="5" s="1"/>
        <i x="2" s="1"/>
        <i x="1"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6C5AC66-829C-4842-904B-C8DAA58CF0E1}" sourceName="Gender">
  <pivotTables>
    <pivotTable tabId="12" name="PivotTable5"/>
  </pivotTables>
  <data>
    <tabular pivotCacheId="128791479">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64596E5-06ED-4367-B1DC-F7C28E33E1F4}" cache="Slicer_Gender" caption="Gender"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A9BC3027-0B6F-440B-A6AB-72B95E693365}" cache="Slicer_Name" caption="Name" style="SlicerStyleDark6" rowHeight="241300"/>
  <slicer name="City" xr10:uid="{95DCAFFF-DF06-4AC1-9326-0F3749C9F246}" cache="Slicer_City" caption="City" style="SlicerStyleDark6" rowHeight="241300"/>
  <slicer name="Gender 1" xr10:uid="{B330FA51-B859-4268-80AE-A96D39D8F989}" cache="Slicer_Gender1" caption="Gender"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9EF4B-9001-4856-A2E0-4F0D74D70B69}" name="Table1" displayName="Table1" ref="A1:P51" totalsRowShown="0" headerRowDxfId="30">
  <autoFilter ref="A1:P51" xr:uid="{B90873D7-1170-4202-AF71-8847407C91E3}"/>
  <tableColumns count="16">
    <tableColumn id="1" xr3:uid="{0D245847-4D7C-425A-9D2C-50A95D352D2A}" name="Sr No." dataDxfId="44"/>
    <tableColumn id="2" xr3:uid="{E49557F3-A4AF-40D3-93AB-3FF5582C00CF}" name="Name" dataDxfId="43"/>
    <tableColumn id="3" xr3:uid="{A307C4F8-102A-4852-994F-40B14559EF43}" name="City" dataDxfId="42"/>
    <tableColumn id="4" xr3:uid="{8DE1B915-972E-4292-A35E-484BB749646A}" name="Gender" dataDxfId="41"/>
    <tableColumn id="5" xr3:uid="{B4C6224A-E898-4505-8489-D8F50B39C629}" name="Age" dataDxfId="40"/>
    <tableColumn id="6" xr3:uid="{17F060C9-E63F-4D1C-8929-C485B89C96D3}" name="Subject 1" dataDxfId="39"/>
    <tableColumn id="7" xr3:uid="{863BC419-F019-4DAD-9C48-947437FD2CF0}" name="Subject 2" dataDxfId="38">
      <calculatedColumnFormula>RANDBETWEEN(20,100)</calculatedColumnFormula>
    </tableColumn>
    <tableColumn id="8" xr3:uid="{9106E76F-C84C-4D03-BBE0-3CD1660DED3C}" name="Subject 3" dataDxfId="37">
      <calculatedColumnFormula>RANDBETWEEN(35,95)</calculatedColumnFormula>
    </tableColumn>
    <tableColumn id="9" xr3:uid="{97258BAE-4F23-4AE0-8752-9B1379DB2427}" name="Subject 4" dataDxfId="36">
      <calculatedColumnFormula>RANDBETWEEN(30,100)</calculatedColumnFormula>
    </tableColumn>
    <tableColumn id="10" xr3:uid="{B616CD88-2E65-467A-8DA9-1A00FAA62344}" name="Subject 5" dataDxfId="35">
      <calculatedColumnFormula>RANDBETWEEN(20,100)</calculatedColumnFormula>
    </tableColumn>
    <tableColumn id="11" xr3:uid="{14A0D5F8-841C-4A31-8D1D-95CFB4029698}" name="Total" dataDxfId="34">
      <calculatedColumnFormula>SUM(F2:J2)</calculatedColumnFormula>
    </tableColumn>
    <tableColumn id="12" xr3:uid="{51D3DADD-7F41-4963-8B99-B88FD5BC2D91}" name="Average" dataDxfId="33">
      <calculatedColumnFormula>SUM(F2:J2)/5</calculatedColumnFormula>
    </tableColumn>
    <tableColumn id="13" xr3:uid="{E8543DF0-231A-4941-8183-243FD789028D}" name="Percantage" dataDxfId="32" dataCellStyle="Percent">
      <calculatedColumnFormula>SUM(F2:J2)/500</calculatedColumnFormula>
    </tableColumn>
    <tableColumn id="14" xr3:uid="{6B749093-68B4-47FA-88B7-0CD7C1CF97E9}" name="Greade" dataDxfId="31">
      <calculatedColumnFormula>IF(L2&gt;80,"A",IF(L2&gt;70,"B",IF(L2&gt;60,"C","D")))</calculatedColumnFormula>
    </tableColumn>
    <tableColumn id="15" xr3:uid="{52D17009-7A33-42A3-899C-CCFA17CF8E6F}" name="SparkLines"/>
    <tableColumn id="16" xr3:uid="{B69D97B6-D2E1-4649-97F0-954956AD4A16}" name="Colum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0AB6C-A455-455F-B29F-F19457A75429}">
  <sheetPr>
    <tabColor theme="0" tint="-4.9989318521683403E-2"/>
  </sheetPr>
  <dimension ref="A1:M17"/>
  <sheetViews>
    <sheetView topLeftCell="B32" zoomScaleNormal="100" workbookViewId="0">
      <selection activeCell="T37" sqref="T37"/>
    </sheetView>
  </sheetViews>
  <sheetFormatPr defaultRowHeight="15" x14ac:dyDescent="0.25"/>
  <cols>
    <col min="1" max="1" width="6.42578125" customWidth="1"/>
    <col min="13" max="13" width="10.7109375" customWidth="1"/>
  </cols>
  <sheetData>
    <row r="1" spans="1:13" ht="18" customHeight="1" x14ac:dyDescent="0.35">
      <c r="A1" s="33" t="s">
        <v>21</v>
      </c>
      <c r="B1" s="34"/>
      <c r="C1" s="34"/>
      <c r="D1" s="34"/>
      <c r="E1" s="34"/>
      <c r="F1" s="34"/>
      <c r="G1" s="34"/>
      <c r="H1" s="34"/>
      <c r="I1" s="34"/>
      <c r="J1" s="34"/>
      <c r="K1" s="34"/>
      <c r="L1" s="34"/>
      <c r="M1" s="34"/>
    </row>
    <row r="2" spans="1:13" ht="15" customHeight="1" x14ac:dyDescent="0.25">
      <c r="A2" s="7" t="s">
        <v>23</v>
      </c>
      <c r="B2" s="8" t="s">
        <v>0</v>
      </c>
      <c r="C2" s="8" t="s">
        <v>1</v>
      </c>
      <c r="D2" s="8" t="s">
        <v>2</v>
      </c>
      <c r="E2" s="8" t="s">
        <v>3</v>
      </c>
      <c r="F2" s="8" t="s">
        <v>4</v>
      </c>
      <c r="G2" s="8" t="s">
        <v>5</v>
      </c>
      <c r="H2" s="19" t="s">
        <v>28</v>
      </c>
      <c r="I2" s="8" t="s">
        <v>25</v>
      </c>
      <c r="J2" s="8" t="s">
        <v>26</v>
      </c>
      <c r="K2" s="8" t="s">
        <v>24</v>
      </c>
      <c r="L2" s="8" t="s">
        <v>27</v>
      </c>
      <c r="M2" s="8" t="s">
        <v>22</v>
      </c>
    </row>
    <row r="3" spans="1:13" x14ac:dyDescent="0.25">
      <c r="A3" s="2">
        <v>1</v>
      </c>
      <c r="B3" s="2" t="s">
        <v>6</v>
      </c>
      <c r="C3" s="3">
        <v>49</v>
      </c>
      <c r="D3" s="3">
        <v>66</v>
      </c>
      <c r="E3" s="3">
        <v>82</v>
      </c>
      <c r="F3" s="3">
        <v>94</v>
      </c>
      <c r="G3" s="3">
        <v>62</v>
      </c>
      <c r="H3" s="3"/>
      <c r="I3" s="3">
        <f>SUM(C3:G3)</f>
        <v>353</v>
      </c>
      <c r="J3" s="3">
        <f t="shared" ref="J3:J17" si="0">AVERAGE(C3:G3)</f>
        <v>70.599999999999994</v>
      </c>
      <c r="K3" s="6">
        <f>AVERAGE(C3:G3)/100</f>
        <v>0.70599999999999996</v>
      </c>
      <c r="L3" s="3" t="str">
        <f>IF(J3&gt;90,"A",IF(J3&gt;80,"B",IF(J3&gt;70,"C","D")))</f>
        <v>C</v>
      </c>
      <c r="M3" s="5">
        <v>45993</v>
      </c>
    </row>
    <row r="4" spans="1:13" x14ac:dyDescent="0.25">
      <c r="A4" s="9">
        <v>2</v>
      </c>
      <c r="B4" s="9" t="s">
        <v>7</v>
      </c>
      <c r="C4" s="10">
        <v>53</v>
      </c>
      <c r="D4" s="10">
        <v>49</v>
      </c>
      <c r="E4" s="10">
        <v>33</v>
      </c>
      <c r="F4" s="10">
        <v>62</v>
      </c>
      <c r="G4" s="10">
        <v>49</v>
      </c>
      <c r="H4" s="3"/>
      <c r="I4" s="11">
        <f t="shared" ref="I4:I17" si="1">SUM(C4:G4)</f>
        <v>246</v>
      </c>
      <c r="J4" s="11">
        <f t="shared" si="0"/>
        <v>49.2</v>
      </c>
      <c r="K4" s="12">
        <f t="shared" ref="K4:K16" si="2">AVERAGE(C4:G4)/100</f>
        <v>0.49200000000000005</v>
      </c>
      <c r="L4" s="11" t="str">
        <f t="shared" ref="L4:L17" si="3">IF(J4&gt;90,"A",IF(J4&gt;80,"B",IF(J4&gt;70,"C","D")))</f>
        <v>D</v>
      </c>
      <c r="M4" s="13">
        <v>45994</v>
      </c>
    </row>
    <row r="5" spans="1:13" x14ac:dyDescent="0.25">
      <c r="A5" s="1">
        <v>3</v>
      </c>
      <c r="B5" s="1" t="s">
        <v>8</v>
      </c>
      <c r="C5" s="4">
        <v>36</v>
      </c>
      <c r="D5" s="4">
        <v>55</v>
      </c>
      <c r="E5" s="4">
        <v>99</v>
      </c>
      <c r="F5" s="4">
        <v>76</v>
      </c>
      <c r="G5" s="4">
        <v>83</v>
      </c>
      <c r="H5" s="3"/>
      <c r="I5" s="3">
        <f t="shared" si="1"/>
        <v>349</v>
      </c>
      <c r="J5" s="3">
        <f t="shared" si="0"/>
        <v>69.8</v>
      </c>
      <c r="K5" s="6">
        <f t="shared" si="2"/>
        <v>0.69799999999999995</v>
      </c>
      <c r="L5" s="3" t="str">
        <f t="shared" si="3"/>
        <v>D</v>
      </c>
      <c r="M5" s="5">
        <v>45995</v>
      </c>
    </row>
    <row r="6" spans="1:13" x14ac:dyDescent="0.25">
      <c r="A6" s="14">
        <v>4</v>
      </c>
      <c r="B6" s="14" t="s">
        <v>9</v>
      </c>
      <c r="C6" s="15">
        <v>96</v>
      </c>
      <c r="D6" s="15">
        <v>74</v>
      </c>
      <c r="E6" s="15">
        <v>97</v>
      </c>
      <c r="F6" s="15">
        <v>40</v>
      </c>
      <c r="G6" s="15">
        <v>35</v>
      </c>
      <c r="H6" s="3"/>
      <c r="I6" s="16">
        <f t="shared" si="1"/>
        <v>342</v>
      </c>
      <c r="J6" s="16">
        <f t="shared" si="0"/>
        <v>68.400000000000006</v>
      </c>
      <c r="K6" s="17">
        <f t="shared" si="2"/>
        <v>0.68400000000000005</v>
      </c>
      <c r="L6" s="16" t="str">
        <f t="shared" si="3"/>
        <v>D</v>
      </c>
      <c r="M6" s="18">
        <v>45996</v>
      </c>
    </row>
    <row r="7" spans="1:13" x14ac:dyDescent="0.25">
      <c r="A7" s="1">
        <v>5</v>
      </c>
      <c r="B7" s="1" t="s">
        <v>10</v>
      </c>
      <c r="C7" s="4">
        <v>43</v>
      </c>
      <c r="D7" s="4">
        <v>84</v>
      </c>
      <c r="E7" s="4">
        <v>40</v>
      </c>
      <c r="F7" s="4">
        <v>70</v>
      </c>
      <c r="G7" s="4">
        <v>79</v>
      </c>
      <c r="H7" s="3"/>
      <c r="I7" s="3">
        <f t="shared" si="1"/>
        <v>316</v>
      </c>
      <c r="J7" s="3">
        <f t="shared" si="0"/>
        <v>63.2</v>
      </c>
      <c r="K7" s="6">
        <f t="shared" si="2"/>
        <v>0.63200000000000001</v>
      </c>
      <c r="L7" s="3" t="str">
        <f t="shared" si="3"/>
        <v>D</v>
      </c>
      <c r="M7" s="5">
        <v>45997</v>
      </c>
    </row>
    <row r="8" spans="1:13" x14ac:dyDescent="0.25">
      <c r="A8" s="14">
        <v>6</v>
      </c>
      <c r="B8" s="14" t="s">
        <v>11</v>
      </c>
      <c r="C8" s="15">
        <v>37</v>
      </c>
      <c r="D8" s="15">
        <v>57</v>
      </c>
      <c r="E8" s="15">
        <v>62</v>
      </c>
      <c r="F8" s="15">
        <v>92</v>
      </c>
      <c r="G8" s="15">
        <v>70</v>
      </c>
      <c r="H8" s="3"/>
      <c r="I8" s="16">
        <f t="shared" si="1"/>
        <v>318</v>
      </c>
      <c r="J8" s="16">
        <f t="shared" si="0"/>
        <v>63.6</v>
      </c>
      <c r="K8" s="17">
        <f t="shared" si="2"/>
        <v>0.63600000000000001</v>
      </c>
      <c r="L8" s="16" t="str">
        <f t="shared" si="3"/>
        <v>D</v>
      </c>
      <c r="M8" s="18">
        <v>45998</v>
      </c>
    </row>
    <row r="9" spans="1:13" x14ac:dyDescent="0.25">
      <c r="A9" s="1">
        <v>7</v>
      </c>
      <c r="B9" s="1" t="s">
        <v>12</v>
      </c>
      <c r="C9" s="4">
        <v>59</v>
      </c>
      <c r="D9" s="4">
        <v>83</v>
      </c>
      <c r="E9" s="4">
        <v>92</v>
      </c>
      <c r="F9" s="4">
        <v>50</v>
      </c>
      <c r="G9" s="4">
        <v>66</v>
      </c>
      <c r="H9" s="3"/>
      <c r="I9" s="3">
        <f t="shared" si="1"/>
        <v>350</v>
      </c>
      <c r="J9" s="3">
        <f t="shared" si="0"/>
        <v>70</v>
      </c>
      <c r="K9" s="6">
        <f t="shared" si="2"/>
        <v>0.7</v>
      </c>
      <c r="L9" s="3" t="str">
        <f t="shared" si="3"/>
        <v>D</v>
      </c>
      <c r="M9" s="5">
        <v>45999</v>
      </c>
    </row>
    <row r="10" spans="1:13" x14ac:dyDescent="0.25">
      <c r="A10" s="14">
        <v>8</v>
      </c>
      <c r="B10" s="14" t="s">
        <v>13</v>
      </c>
      <c r="C10" s="15">
        <v>95</v>
      </c>
      <c r="D10" s="15">
        <v>52</v>
      </c>
      <c r="E10" s="15">
        <v>92</v>
      </c>
      <c r="F10" s="15">
        <v>79</v>
      </c>
      <c r="G10" s="15">
        <v>89</v>
      </c>
      <c r="H10" s="3"/>
      <c r="I10" s="16">
        <f t="shared" si="1"/>
        <v>407</v>
      </c>
      <c r="J10" s="16">
        <f t="shared" si="0"/>
        <v>81.400000000000006</v>
      </c>
      <c r="K10" s="17">
        <f>AVERAGE(C10:G10)/100</f>
        <v>0.81400000000000006</v>
      </c>
      <c r="L10" s="16" t="str">
        <f t="shared" si="3"/>
        <v>B</v>
      </c>
      <c r="M10" s="18">
        <v>46000</v>
      </c>
    </row>
    <row r="11" spans="1:13" x14ac:dyDescent="0.25">
      <c r="A11" s="1">
        <v>9</v>
      </c>
      <c r="B11" s="1" t="s">
        <v>14</v>
      </c>
      <c r="C11" s="4">
        <v>91</v>
      </c>
      <c r="D11" s="4">
        <v>93</v>
      </c>
      <c r="E11" s="4">
        <v>85</v>
      </c>
      <c r="F11" s="4">
        <v>72</v>
      </c>
      <c r="G11" s="4">
        <v>78</v>
      </c>
      <c r="H11" s="3"/>
      <c r="I11" s="3">
        <f t="shared" si="1"/>
        <v>419</v>
      </c>
      <c r="J11" s="3">
        <f t="shared" si="0"/>
        <v>83.8</v>
      </c>
      <c r="K11" s="6">
        <f t="shared" si="2"/>
        <v>0.83799999999999997</v>
      </c>
      <c r="L11" s="3" t="str">
        <f t="shared" si="3"/>
        <v>B</v>
      </c>
      <c r="M11" s="20">
        <v>45999</v>
      </c>
    </row>
    <row r="12" spans="1:13" x14ac:dyDescent="0.25">
      <c r="A12" s="14">
        <v>10</v>
      </c>
      <c r="B12" s="14" t="s">
        <v>15</v>
      </c>
      <c r="C12" s="15">
        <v>98</v>
      </c>
      <c r="D12" s="15">
        <v>72</v>
      </c>
      <c r="E12" s="15">
        <v>70</v>
      </c>
      <c r="F12" s="15">
        <v>35</v>
      </c>
      <c r="G12" s="15">
        <v>88</v>
      </c>
      <c r="H12" s="3"/>
      <c r="I12" s="16">
        <f t="shared" si="1"/>
        <v>363</v>
      </c>
      <c r="J12" s="16">
        <f t="shared" si="0"/>
        <v>72.599999999999994</v>
      </c>
      <c r="K12" s="17">
        <f t="shared" si="2"/>
        <v>0.72599999999999998</v>
      </c>
      <c r="L12" s="16" t="str">
        <f t="shared" si="3"/>
        <v>C</v>
      </c>
      <c r="M12" s="18" t="s">
        <v>29</v>
      </c>
    </row>
    <row r="13" spans="1:13" x14ac:dyDescent="0.25">
      <c r="A13" s="1">
        <v>11</v>
      </c>
      <c r="B13" s="1" t="s">
        <v>16</v>
      </c>
      <c r="C13" s="4">
        <v>91</v>
      </c>
      <c r="D13" s="4">
        <v>51</v>
      </c>
      <c r="E13" s="4">
        <v>86</v>
      </c>
      <c r="F13" s="4">
        <v>63</v>
      </c>
      <c r="G13" s="4">
        <v>95</v>
      </c>
      <c r="H13" s="3"/>
      <c r="I13" s="3">
        <f t="shared" si="1"/>
        <v>386</v>
      </c>
      <c r="J13" s="3">
        <f t="shared" si="0"/>
        <v>77.2</v>
      </c>
      <c r="K13" s="6">
        <f t="shared" si="2"/>
        <v>0.77200000000000002</v>
      </c>
      <c r="L13" s="3" t="str">
        <f t="shared" si="3"/>
        <v>C</v>
      </c>
      <c r="M13" s="20">
        <v>45293</v>
      </c>
    </row>
    <row r="14" spans="1:13" x14ac:dyDescent="0.25">
      <c r="A14" s="14">
        <v>12</v>
      </c>
      <c r="B14" s="14" t="s">
        <v>17</v>
      </c>
      <c r="C14" s="15">
        <v>56</v>
      </c>
      <c r="D14" s="15">
        <v>93</v>
      </c>
      <c r="E14" s="15">
        <v>41</v>
      </c>
      <c r="F14" s="15">
        <v>49</v>
      </c>
      <c r="G14" s="15">
        <v>97</v>
      </c>
      <c r="H14" s="3"/>
      <c r="I14" s="16">
        <f t="shared" si="1"/>
        <v>336</v>
      </c>
      <c r="J14" s="16">
        <f t="shared" si="0"/>
        <v>67.2</v>
      </c>
      <c r="K14" s="17">
        <f t="shared" si="2"/>
        <v>0.67200000000000004</v>
      </c>
      <c r="L14" s="16" t="str">
        <f t="shared" si="3"/>
        <v>D</v>
      </c>
      <c r="M14" s="18">
        <v>45450</v>
      </c>
    </row>
    <row r="15" spans="1:13" x14ac:dyDescent="0.25">
      <c r="A15" s="1">
        <v>13</v>
      </c>
      <c r="B15" s="1" t="s">
        <v>18</v>
      </c>
      <c r="C15" s="4">
        <v>90</v>
      </c>
      <c r="D15" s="4">
        <v>80</v>
      </c>
      <c r="E15" s="4">
        <v>85</v>
      </c>
      <c r="F15" s="4">
        <v>40</v>
      </c>
      <c r="G15" s="4">
        <v>84</v>
      </c>
      <c r="H15" s="3"/>
      <c r="I15" s="3">
        <f t="shared" si="1"/>
        <v>379</v>
      </c>
      <c r="J15" s="3">
        <f t="shared" si="0"/>
        <v>75.8</v>
      </c>
      <c r="K15" s="6">
        <f t="shared" si="2"/>
        <v>0.75800000000000001</v>
      </c>
      <c r="L15" s="3" t="str">
        <f t="shared" si="3"/>
        <v>C</v>
      </c>
      <c r="M15" s="20" t="s">
        <v>30</v>
      </c>
    </row>
    <row r="16" spans="1:13" x14ac:dyDescent="0.25">
      <c r="A16" s="14">
        <v>14</v>
      </c>
      <c r="B16" s="14" t="s">
        <v>19</v>
      </c>
      <c r="C16" s="15">
        <v>75</v>
      </c>
      <c r="D16" s="15">
        <v>98</v>
      </c>
      <c r="E16" s="15">
        <v>35</v>
      </c>
      <c r="F16" s="15">
        <v>92</v>
      </c>
      <c r="G16" s="15">
        <v>91</v>
      </c>
      <c r="H16" s="3"/>
      <c r="I16" s="16">
        <f t="shared" si="1"/>
        <v>391</v>
      </c>
      <c r="J16" s="16">
        <f t="shared" si="0"/>
        <v>78.2</v>
      </c>
      <c r="K16" s="17">
        <f t="shared" si="2"/>
        <v>0.78200000000000003</v>
      </c>
      <c r="L16" s="16" t="str">
        <f t="shared" si="3"/>
        <v>C</v>
      </c>
      <c r="M16" s="18">
        <v>45239</v>
      </c>
    </row>
    <row r="17" spans="1:13" x14ac:dyDescent="0.25">
      <c r="A17" s="1">
        <v>15</v>
      </c>
      <c r="B17" s="1" t="s">
        <v>20</v>
      </c>
      <c r="C17" s="4">
        <v>89</v>
      </c>
      <c r="D17" s="4">
        <v>56</v>
      </c>
      <c r="E17" s="4">
        <v>52</v>
      </c>
      <c r="F17" s="4">
        <v>91</v>
      </c>
      <c r="G17" s="4">
        <v>82</v>
      </c>
      <c r="H17" s="3"/>
      <c r="I17" s="3">
        <f t="shared" si="1"/>
        <v>370</v>
      </c>
      <c r="J17" s="3">
        <f t="shared" si="0"/>
        <v>74</v>
      </c>
      <c r="K17" s="6">
        <f>AVERAGE(C17:G17)/100</f>
        <v>0.74</v>
      </c>
      <c r="L17" s="3" t="str">
        <f t="shared" si="3"/>
        <v>C</v>
      </c>
      <c r="M17" s="5">
        <v>45387</v>
      </c>
    </row>
  </sheetData>
  <mergeCells count="1">
    <mergeCell ref="A1:M1"/>
  </mergeCells>
  <conditionalFormatting sqref="C3:C7 C9 C11 C13 C15 C17">
    <cfRule type="cellIs" dxfId="29" priority="47" operator="between">
      <formula>51</formula>
      <formula>83100</formula>
    </cfRule>
    <cfRule type="cellIs" dxfId="28" priority="48" operator="between">
      <formula>0</formula>
      <formula>50</formula>
    </cfRule>
  </conditionalFormatting>
  <conditionalFormatting sqref="D3:D7 D9 D11 D13 D15 D17">
    <cfRule type="top10" dxfId="27" priority="44" percent="1" bottom="1" rank="10"/>
    <cfRule type="aboveAverage" dxfId="26" priority="45"/>
    <cfRule type="top10" dxfId="25" priority="46" rank="3"/>
  </conditionalFormatting>
  <conditionalFormatting sqref="E3:E7 E9 E11 E13 E15 E17">
    <cfRule type="dataBar" priority="43">
      <dataBar>
        <cfvo type="min"/>
        <cfvo type="max"/>
        <color rgb="FFFF555A"/>
      </dataBar>
      <extLst>
        <ext xmlns:x14="http://schemas.microsoft.com/office/spreadsheetml/2009/9/main" uri="{B025F937-C7B1-47D3-B67F-A62EFF666E3E}">
          <x14:id>{20CDFE03-50FA-4755-A8AD-8ACA9BECD939}</x14:id>
        </ext>
      </extLst>
    </cfRule>
  </conditionalFormatting>
  <conditionalFormatting sqref="F3:F7 F9 F11 F13 F15 F17">
    <cfRule type="colorScale" priority="42">
      <colorScale>
        <cfvo type="min"/>
        <cfvo type="percentile" val="50"/>
        <cfvo type="max"/>
        <color rgb="FFF8696B"/>
        <color rgb="FFFCFCFF"/>
        <color rgb="FF5A8AC6"/>
      </colorScale>
    </cfRule>
  </conditionalFormatting>
  <conditionalFormatting sqref="G3:I3 G9 G11 G13 G15 G17 I17 I15 I13 I11 I9 G4:G7 I4:I7 H4:H17">
    <cfRule type="iconSet" priority="41">
      <iconSet iconSet="3Flags">
        <cfvo type="percent" val="0"/>
        <cfvo type="percent" val="33"/>
        <cfvo type="percent" val="67"/>
      </iconSet>
    </cfRule>
  </conditionalFormatting>
  <conditionalFormatting sqref="C8">
    <cfRule type="cellIs" dxfId="24" priority="39" operator="between">
      <formula>51</formula>
      <formula>83100</formula>
    </cfRule>
    <cfRule type="cellIs" dxfId="23" priority="40" operator="between">
      <formula>0</formula>
      <formula>50</formula>
    </cfRule>
  </conditionalFormatting>
  <conditionalFormatting sqref="D8">
    <cfRule type="top10" dxfId="22" priority="36" percent="1" bottom="1" rank="10"/>
    <cfRule type="aboveAverage" dxfId="21" priority="37"/>
    <cfRule type="top10" dxfId="20" priority="38" rank="3"/>
  </conditionalFormatting>
  <conditionalFormatting sqref="E8">
    <cfRule type="dataBar" priority="35">
      <dataBar>
        <cfvo type="min"/>
        <cfvo type="max"/>
        <color rgb="FFFF555A"/>
      </dataBar>
      <extLst>
        <ext xmlns:x14="http://schemas.microsoft.com/office/spreadsheetml/2009/9/main" uri="{B025F937-C7B1-47D3-B67F-A62EFF666E3E}">
          <x14:id>{E7DA2728-2155-46CA-A308-C7925F0B41EF}</x14:id>
        </ext>
      </extLst>
    </cfRule>
  </conditionalFormatting>
  <conditionalFormatting sqref="F8">
    <cfRule type="colorScale" priority="34">
      <colorScale>
        <cfvo type="min"/>
        <cfvo type="percentile" val="50"/>
        <cfvo type="max"/>
        <color rgb="FFF8696B"/>
        <color rgb="FFFCFCFF"/>
        <color rgb="FF5A8AC6"/>
      </colorScale>
    </cfRule>
  </conditionalFormatting>
  <conditionalFormatting sqref="G8 I8">
    <cfRule type="iconSet" priority="33">
      <iconSet iconSet="3Flags">
        <cfvo type="percent" val="0"/>
        <cfvo type="percent" val="33"/>
        <cfvo type="percent" val="67"/>
      </iconSet>
    </cfRule>
  </conditionalFormatting>
  <conditionalFormatting sqref="C10">
    <cfRule type="cellIs" dxfId="19" priority="31" operator="between">
      <formula>51</formula>
      <formula>83100</formula>
    </cfRule>
    <cfRule type="cellIs" dxfId="18" priority="32" operator="between">
      <formula>0</formula>
      <formula>50</formula>
    </cfRule>
  </conditionalFormatting>
  <conditionalFormatting sqref="D10">
    <cfRule type="top10" dxfId="17" priority="28" percent="1" bottom="1" rank="10"/>
    <cfRule type="aboveAverage" dxfId="16" priority="29"/>
    <cfRule type="top10" dxfId="15" priority="30" rank="3"/>
  </conditionalFormatting>
  <conditionalFormatting sqref="E10">
    <cfRule type="dataBar" priority="27">
      <dataBar>
        <cfvo type="min"/>
        <cfvo type="max"/>
        <color rgb="FFFF555A"/>
      </dataBar>
      <extLst>
        <ext xmlns:x14="http://schemas.microsoft.com/office/spreadsheetml/2009/9/main" uri="{B025F937-C7B1-47D3-B67F-A62EFF666E3E}">
          <x14:id>{CE65335D-23D3-43D2-851C-8709773B0CAC}</x14:id>
        </ext>
      </extLst>
    </cfRule>
  </conditionalFormatting>
  <conditionalFormatting sqref="F10">
    <cfRule type="colorScale" priority="26">
      <colorScale>
        <cfvo type="min"/>
        <cfvo type="percentile" val="50"/>
        <cfvo type="max"/>
        <color rgb="FFF8696B"/>
        <color rgb="FFFCFCFF"/>
        <color rgb="FF5A8AC6"/>
      </colorScale>
    </cfRule>
  </conditionalFormatting>
  <conditionalFormatting sqref="G10 I10">
    <cfRule type="iconSet" priority="25">
      <iconSet iconSet="3Flags">
        <cfvo type="percent" val="0"/>
        <cfvo type="percent" val="33"/>
        <cfvo type="percent" val="67"/>
      </iconSet>
    </cfRule>
  </conditionalFormatting>
  <conditionalFormatting sqref="C12">
    <cfRule type="cellIs" dxfId="14" priority="23" operator="between">
      <formula>51</formula>
      <formula>83100</formula>
    </cfRule>
    <cfRule type="cellIs" dxfId="13" priority="24" operator="between">
      <formula>0</formula>
      <formula>50</formula>
    </cfRule>
  </conditionalFormatting>
  <conditionalFormatting sqref="D12">
    <cfRule type="top10" dxfId="12" priority="20" percent="1" bottom="1" rank="10"/>
    <cfRule type="aboveAverage" dxfId="11" priority="21"/>
    <cfRule type="top10" dxfId="10" priority="22" rank="3"/>
  </conditionalFormatting>
  <conditionalFormatting sqref="E12">
    <cfRule type="dataBar" priority="19">
      <dataBar>
        <cfvo type="min"/>
        <cfvo type="max"/>
        <color rgb="FFFF555A"/>
      </dataBar>
      <extLst>
        <ext xmlns:x14="http://schemas.microsoft.com/office/spreadsheetml/2009/9/main" uri="{B025F937-C7B1-47D3-B67F-A62EFF666E3E}">
          <x14:id>{88C73BC7-BC7C-4C66-B484-1C7DDC1FF64A}</x14:id>
        </ext>
      </extLst>
    </cfRule>
  </conditionalFormatting>
  <conditionalFormatting sqref="F12">
    <cfRule type="colorScale" priority="18">
      <colorScale>
        <cfvo type="min"/>
        <cfvo type="percentile" val="50"/>
        <cfvo type="max"/>
        <color rgb="FFF8696B"/>
        <color rgb="FFFCFCFF"/>
        <color rgb="FF5A8AC6"/>
      </colorScale>
    </cfRule>
  </conditionalFormatting>
  <conditionalFormatting sqref="G12 I12">
    <cfRule type="iconSet" priority="17">
      <iconSet iconSet="3Flags">
        <cfvo type="percent" val="0"/>
        <cfvo type="percent" val="33"/>
        <cfvo type="percent" val="67"/>
      </iconSet>
    </cfRule>
  </conditionalFormatting>
  <conditionalFormatting sqref="C14">
    <cfRule type="cellIs" dxfId="9" priority="15" operator="between">
      <formula>51</formula>
      <formula>83100</formula>
    </cfRule>
    <cfRule type="cellIs" dxfId="8" priority="16" operator="between">
      <formula>0</formula>
      <formula>50</formula>
    </cfRule>
  </conditionalFormatting>
  <conditionalFormatting sqref="D14">
    <cfRule type="top10" dxfId="7" priority="12" percent="1" bottom="1" rank="10"/>
    <cfRule type="aboveAverage" dxfId="6" priority="13"/>
    <cfRule type="top10" dxfId="5" priority="14" rank="3"/>
  </conditionalFormatting>
  <conditionalFormatting sqref="E14">
    <cfRule type="dataBar" priority="11">
      <dataBar>
        <cfvo type="min"/>
        <cfvo type="max"/>
        <color rgb="FFFF555A"/>
      </dataBar>
      <extLst>
        <ext xmlns:x14="http://schemas.microsoft.com/office/spreadsheetml/2009/9/main" uri="{B025F937-C7B1-47D3-B67F-A62EFF666E3E}">
          <x14:id>{03A96589-7A5E-4A85-8104-502ED264163A}</x14:id>
        </ext>
      </extLst>
    </cfRule>
  </conditionalFormatting>
  <conditionalFormatting sqref="F14">
    <cfRule type="colorScale" priority="10">
      <colorScale>
        <cfvo type="min"/>
        <cfvo type="percentile" val="50"/>
        <cfvo type="max"/>
        <color rgb="FFF8696B"/>
        <color rgb="FFFCFCFF"/>
        <color rgb="FF5A8AC6"/>
      </colorScale>
    </cfRule>
  </conditionalFormatting>
  <conditionalFormatting sqref="G14 I14">
    <cfRule type="iconSet" priority="9">
      <iconSet iconSet="3Flags">
        <cfvo type="percent" val="0"/>
        <cfvo type="percent" val="33"/>
        <cfvo type="percent" val="67"/>
      </iconSet>
    </cfRule>
  </conditionalFormatting>
  <conditionalFormatting sqref="C16">
    <cfRule type="cellIs" dxfId="4" priority="7" operator="between">
      <formula>51</formula>
      <formula>83100</formula>
    </cfRule>
    <cfRule type="cellIs" dxfId="3" priority="8" operator="between">
      <formula>0</formula>
      <formula>50</formula>
    </cfRule>
  </conditionalFormatting>
  <conditionalFormatting sqref="D16">
    <cfRule type="top10" dxfId="2" priority="4" percent="1" bottom="1" rank="10"/>
    <cfRule type="aboveAverage" dxfId="1" priority="5"/>
    <cfRule type="top10" dxfId="0" priority="6" rank="3"/>
  </conditionalFormatting>
  <conditionalFormatting sqref="E16">
    <cfRule type="dataBar" priority="3">
      <dataBar>
        <cfvo type="min"/>
        <cfvo type="max"/>
        <color rgb="FFFF555A"/>
      </dataBar>
      <extLst>
        <ext xmlns:x14="http://schemas.microsoft.com/office/spreadsheetml/2009/9/main" uri="{B025F937-C7B1-47D3-B67F-A62EFF666E3E}">
          <x14:id>{CC7F2793-8E41-4EE0-902D-46D16FAAD82A}</x14:id>
        </ext>
      </extLst>
    </cfRule>
  </conditionalFormatting>
  <conditionalFormatting sqref="F16">
    <cfRule type="colorScale" priority="2">
      <colorScale>
        <cfvo type="min"/>
        <cfvo type="percentile" val="50"/>
        <cfvo type="max"/>
        <color rgb="FFF8696B"/>
        <color rgb="FFFCFCFF"/>
        <color rgb="FF5A8AC6"/>
      </colorScale>
    </cfRule>
  </conditionalFormatting>
  <conditionalFormatting sqref="G16 I16">
    <cfRule type="iconSet" priority="1">
      <iconSet iconSet="3Flags">
        <cfvo type="percent" val="0"/>
        <cfvo type="percent" val="33"/>
        <cfvo type="percent" val="67"/>
      </iconSe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0CDFE03-50FA-4755-A8AD-8ACA9BECD939}">
            <x14:dataBar minLength="0" maxLength="100" gradient="0">
              <x14:cfvo type="autoMin"/>
              <x14:cfvo type="autoMax"/>
              <x14:negativeFillColor rgb="FFFF0000"/>
              <x14:axisColor rgb="FF000000"/>
            </x14:dataBar>
          </x14:cfRule>
          <xm:sqref>E3:E7 E9 E11 E13 E15 E17</xm:sqref>
        </x14:conditionalFormatting>
        <x14:conditionalFormatting xmlns:xm="http://schemas.microsoft.com/office/excel/2006/main">
          <x14:cfRule type="dataBar" id="{E7DA2728-2155-46CA-A308-C7925F0B41EF}">
            <x14:dataBar minLength="0" maxLength="100" gradient="0">
              <x14:cfvo type="autoMin"/>
              <x14:cfvo type="autoMax"/>
              <x14:negativeFillColor rgb="FFFF0000"/>
              <x14:axisColor rgb="FF000000"/>
            </x14:dataBar>
          </x14:cfRule>
          <xm:sqref>E8</xm:sqref>
        </x14:conditionalFormatting>
        <x14:conditionalFormatting xmlns:xm="http://schemas.microsoft.com/office/excel/2006/main">
          <x14:cfRule type="dataBar" id="{CE65335D-23D3-43D2-851C-8709773B0CAC}">
            <x14:dataBar minLength="0" maxLength="100" gradient="0">
              <x14:cfvo type="autoMin"/>
              <x14:cfvo type="autoMax"/>
              <x14:negativeFillColor rgb="FFFF0000"/>
              <x14:axisColor rgb="FF000000"/>
            </x14:dataBar>
          </x14:cfRule>
          <xm:sqref>E10</xm:sqref>
        </x14:conditionalFormatting>
        <x14:conditionalFormatting xmlns:xm="http://schemas.microsoft.com/office/excel/2006/main">
          <x14:cfRule type="dataBar" id="{88C73BC7-BC7C-4C66-B484-1C7DDC1FF64A}">
            <x14:dataBar minLength="0" maxLength="100" gradient="0">
              <x14:cfvo type="autoMin"/>
              <x14:cfvo type="autoMax"/>
              <x14:negativeFillColor rgb="FFFF0000"/>
              <x14:axisColor rgb="FF000000"/>
            </x14:dataBar>
          </x14:cfRule>
          <xm:sqref>E12</xm:sqref>
        </x14:conditionalFormatting>
        <x14:conditionalFormatting xmlns:xm="http://schemas.microsoft.com/office/excel/2006/main">
          <x14:cfRule type="dataBar" id="{03A96589-7A5E-4A85-8104-502ED264163A}">
            <x14:dataBar minLength="0" maxLength="100" gradient="0">
              <x14:cfvo type="autoMin"/>
              <x14:cfvo type="autoMax"/>
              <x14:negativeFillColor rgb="FFFF0000"/>
              <x14:axisColor rgb="FF000000"/>
            </x14:dataBar>
          </x14:cfRule>
          <xm:sqref>E14</xm:sqref>
        </x14:conditionalFormatting>
        <x14:conditionalFormatting xmlns:xm="http://schemas.microsoft.com/office/excel/2006/main">
          <x14:cfRule type="dataBar" id="{CC7F2793-8E41-4EE0-902D-46D16FAAD82A}">
            <x14:dataBar minLength="0" maxLength="100" gradient="0">
              <x14:cfvo type="autoMin"/>
              <x14:cfvo type="autoMax"/>
              <x14:negativeFillColor rgb="FFFF0000"/>
              <x14:axisColor rgb="FF000000"/>
            </x14:dataBar>
          </x14:cfRule>
          <xm:sqref>E16</xm:sqref>
        </x14:conditionalFormatting>
      </x14:conditionalFormattings>
    </ext>
    <ext xmlns:x14="http://schemas.microsoft.com/office/spreadsheetml/2009/9/main" uri="{05C60535-1F16-4fd2-B633-F4F36F0B64E0}">
      <x14:sparklineGroups xmlns:xm="http://schemas.microsoft.com/office/excel/2006/main">
        <x14:sparklineGroup displayEmptyCellsAs="gap" markers="1" xr2:uid="{8633FC31-E145-4DE3-9069-54DC0151D6E0}">
          <x14:colorSeries theme="8" tint="-0.499984740745262"/>
          <x14:colorNegative theme="9"/>
          <x14:colorAxis rgb="FF000000"/>
          <x14:colorMarkers theme="8" tint="-0.499984740745262"/>
          <x14:colorFirst theme="8" tint="0.39997558519241921"/>
          <x14:colorLast theme="8" tint="0.39997558519241921"/>
          <x14:colorHigh theme="8"/>
          <x14:colorLow theme="8"/>
          <x14:sparklines>
            <x14:sparkline>
              <xm:f>Sheet1!C3:F3</xm:f>
              <xm:sqref>H3</xm:sqref>
            </x14:sparkline>
            <x14:sparkline>
              <xm:f>Sheet1!C4:F4</xm:f>
              <xm:sqref>H4</xm:sqref>
            </x14:sparkline>
            <x14:sparkline>
              <xm:f>Sheet1!C5:F5</xm:f>
              <xm:sqref>H5</xm:sqref>
            </x14:sparkline>
            <x14:sparkline>
              <xm:f>Sheet1!C6:F6</xm:f>
              <xm:sqref>H6</xm:sqref>
            </x14:sparkline>
            <x14:sparkline>
              <xm:f>Sheet1!C7:F7</xm:f>
              <xm:sqref>H7</xm:sqref>
            </x14:sparkline>
            <x14:sparkline>
              <xm:f>Sheet1!C8:F8</xm:f>
              <xm:sqref>H8</xm:sqref>
            </x14:sparkline>
            <x14:sparkline>
              <xm:f>Sheet1!C9:F9</xm:f>
              <xm:sqref>H9</xm:sqref>
            </x14:sparkline>
            <x14:sparkline>
              <xm:f>Sheet1!C10:F10</xm:f>
              <xm:sqref>H10</xm:sqref>
            </x14:sparkline>
            <x14:sparkline>
              <xm:f>Sheet1!C11:F11</xm:f>
              <xm:sqref>H11</xm:sqref>
            </x14:sparkline>
            <x14:sparkline>
              <xm:f>Sheet1!C12:F12</xm:f>
              <xm:sqref>H12</xm:sqref>
            </x14:sparkline>
            <x14:sparkline>
              <xm:f>Sheet1!C13:F13</xm:f>
              <xm:sqref>H13</xm:sqref>
            </x14:sparkline>
            <x14:sparkline>
              <xm:f>Sheet1!C14:F14</xm:f>
              <xm:sqref>H14</xm:sqref>
            </x14:sparkline>
            <x14:sparkline>
              <xm:f>Sheet1!C15:F15</xm:f>
              <xm:sqref>H15</xm:sqref>
            </x14:sparkline>
            <x14:sparkline>
              <xm:f>Sheet1!C16:F16</xm:f>
              <xm:sqref>H16</xm:sqref>
            </x14:sparkline>
            <x14:sparkline>
              <xm:f>Sheet1!C17:F17</xm:f>
              <xm:sqref>H17</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CC19D-4BB0-4C9B-A030-11BCCBB3BB52}">
  <dimension ref="A1:D31"/>
  <sheetViews>
    <sheetView workbookViewId="0">
      <selection activeCell="D1" sqref="D1:E1"/>
    </sheetView>
  </sheetViews>
  <sheetFormatPr defaultRowHeight="15" x14ac:dyDescent="0.25"/>
  <cols>
    <col min="1" max="1" width="16.28515625" bestFit="1" customWidth="1"/>
    <col min="2" max="9" width="15.7109375" bestFit="1" customWidth="1"/>
    <col min="10" max="11" width="20.7109375" bestFit="1" customWidth="1"/>
  </cols>
  <sheetData>
    <row r="1" spans="1:4" x14ac:dyDescent="0.25">
      <c r="D1" t="s">
        <v>109</v>
      </c>
    </row>
    <row r="2" spans="1:4" x14ac:dyDescent="0.25">
      <c r="A2" s="25" t="s">
        <v>33</v>
      </c>
      <c r="B2" t="s">
        <v>45</v>
      </c>
    </row>
    <row r="4" spans="1:4" x14ac:dyDescent="0.25">
      <c r="A4" s="25" t="s">
        <v>42</v>
      </c>
      <c r="B4" s="25" t="s">
        <v>104</v>
      </c>
      <c r="C4" s="25" t="s">
        <v>105</v>
      </c>
      <c r="D4" s="25"/>
    </row>
    <row r="5" spans="1:4" x14ac:dyDescent="0.25">
      <c r="A5" s="26" t="s">
        <v>75</v>
      </c>
      <c r="B5">
        <v>36</v>
      </c>
      <c r="C5">
        <v>100</v>
      </c>
    </row>
    <row r="6" spans="1:4" x14ac:dyDescent="0.25">
      <c r="A6" s="26" t="s">
        <v>67</v>
      </c>
      <c r="B6">
        <v>52</v>
      </c>
      <c r="C6">
        <v>64</v>
      </c>
    </row>
    <row r="7" spans="1:4" x14ac:dyDescent="0.25">
      <c r="A7" s="26" t="s">
        <v>99</v>
      </c>
      <c r="B7">
        <v>45</v>
      </c>
      <c r="C7">
        <v>59</v>
      </c>
    </row>
    <row r="8" spans="1:4" x14ac:dyDescent="0.25">
      <c r="A8" s="26" t="s">
        <v>59</v>
      </c>
      <c r="B8">
        <v>45</v>
      </c>
      <c r="C8">
        <v>42</v>
      </c>
    </row>
    <row r="9" spans="1:4" x14ac:dyDescent="0.25">
      <c r="A9" s="26" t="s">
        <v>97</v>
      </c>
      <c r="B9">
        <v>45</v>
      </c>
      <c r="C9">
        <v>52</v>
      </c>
    </row>
    <row r="10" spans="1:4" x14ac:dyDescent="0.25">
      <c r="A10" s="26" t="s">
        <v>65</v>
      </c>
      <c r="B10">
        <v>87</v>
      </c>
      <c r="C10">
        <v>94</v>
      </c>
    </row>
    <row r="11" spans="1:4" x14ac:dyDescent="0.25">
      <c r="A11" s="26" t="s">
        <v>77</v>
      </c>
      <c r="B11">
        <v>46</v>
      </c>
      <c r="C11">
        <v>48</v>
      </c>
    </row>
    <row r="12" spans="1:4" x14ac:dyDescent="0.25">
      <c r="A12" s="26" t="s">
        <v>55</v>
      </c>
      <c r="B12">
        <v>78</v>
      </c>
      <c r="C12">
        <v>60</v>
      </c>
    </row>
    <row r="13" spans="1:4" x14ac:dyDescent="0.25">
      <c r="A13" s="26" t="s">
        <v>73</v>
      </c>
      <c r="B13">
        <v>84</v>
      </c>
      <c r="C13">
        <v>41</v>
      </c>
    </row>
    <row r="14" spans="1:4" x14ac:dyDescent="0.25">
      <c r="A14" s="26" t="s">
        <v>79</v>
      </c>
      <c r="B14">
        <v>65</v>
      </c>
      <c r="C14">
        <v>96</v>
      </c>
    </row>
    <row r="15" spans="1:4" x14ac:dyDescent="0.25">
      <c r="A15" s="26" t="s">
        <v>89</v>
      </c>
      <c r="B15">
        <v>75</v>
      </c>
      <c r="C15">
        <v>24</v>
      </c>
    </row>
    <row r="16" spans="1:4" x14ac:dyDescent="0.25">
      <c r="A16" s="26" t="s">
        <v>71</v>
      </c>
      <c r="B16">
        <v>48</v>
      </c>
      <c r="C16">
        <v>42</v>
      </c>
    </row>
    <row r="17" spans="1:3" x14ac:dyDescent="0.25">
      <c r="A17" s="26" t="s">
        <v>63</v>
      </c>
      <c r="B17">
        <v>89</v>
      </c>
      <c r="C17">
        <v>83</v>
      </c>
    </row>
    <row r="18" spans="1:3" x14ac:dyDescent="0.25">
      <c r="A18" s="26" t="s">
        <v>54</v>
      </c>
      <c r="B18">
        <v>89</v>
      </c>
      <c r="C18">
        <v>24</v>
      </c>
    </row>
    <row r="19" spans="1:3" x14ac:dyDescent="0.25">
      <c r="A19" s="26" t="s">
        <v>103</v>
      </c>
      <c r="B19">
        <v>45</v>
      </c>
      <c r="C19">
        <v>78</v>
      </c>
    </row>
    <row r="20" spans="1:3" x14ac:dyDescent="0.25">
      <c r="A20" s="26" t="s">
        <v>101</v>
      </c>
      <c r="B20">
        <v>65</v>
      </c>
      <c r="C20">
        <v>56</v>
      </c>
    </row>
    <row r="21" spans="1:3" x14ac:dyDescent="0.25">
      <c r="A21" s="26" t="s">
        <v>85</v>
      </c>
      <c r="B21">
        <v>45</v>
      </c>
      <c r="C21">
        <v>44</v>
      </c>
    </row>
    <row r="22" spans="1:3" x14ac:dyDescent="0.25">
      <c r="A22" s="26" t="s">
        <v>93</v>
      </c>
      <c r="B22">
        <v>85</v>
      </c>
      <c r="C22">
        <v>21</v>
      </c>
    </row>
    <row r="23" spans="1:3" x14ac:dyDescent="0.25">
      <c r="A23" s="26" t="s">
        <v>69</v>
      </c>
      <c r="B23">
        <v>94</v>
      </c>
      <c r="C23">
        <v>52</v>
      </c>
    </row>
    <row r="24" spans="1:3" x14ac:dyDescent="0.25">
      <c r="A24" s="26" t="s">
        <v>91</v>
      </c>
      <c r="B24">
        <v>46</v>
      </c>
      <c r="C24">
        <v>95</v>
      </c>
    </row>
    <row r="25" spans="1:3" x14ac:dyDescent="0.25">
      <c r="A25" s="26" t="s">
        <v>57</v>
      </c>
      <c r="B25">
        <v>58</v>
      </c>
      <c r="C25">
        <v>47</v>
      </c>
    </row>
    <row r="26" spans="1:3" x14ac:dyDescent="0.25">
      <c r="A26" s="26" t="s">
        <v>81</v>
      </c>
      <c r="B26">
        <v>85</v>
      </c>
      <c r="C26">
        <v>38</v>
      </c>
    </row>
    <row r="27" spans="1:3" x14ac:dyDescent="0.25">
      <c r="A27" s="26" t="s">
        <v>61</v>
      </c>
      <c r="B27">
        <v>45</v>
      </c>
      <c r="C27">
        <v>67</v>
      </c>
    </row>
    <row r="28" spans="1:3" x14ac:dyDescent="0.25">
      <c r="A28" s="26" t="s">
        <v>95</v>
      </c>
      <c r="B28">
        <v>45</v>
      </c>
      <c r="C28">
        <v>41</v>
      </c>
    </row>
    <row r="29" spans="1:3" x14ac:dyDescent="0.25">
      <c r="A29" s="26" t="s">
        <v>83</v>
      </c>
      <c r="B29">
        <v>98</v>
      </c>
      <c r="C29">
        <v>48</v>
      </c>
    </row>
    <row r="30" spans="1:3" x14ac:dyDescent="0.25">
      <c r="A30" s="26" t="s">
        <v>87</v>
      </c>
      <c r="B30">
        <v>36</v>
      </c>
      <c r="C30">
        <v>87</v>
      </c>
    </row>
    <row r="31" spans="1:3" x14ac:dyDescent="0.25">
      <c r="A31" s="26" t="s">
        <v>43</v>
      </c>
      <c r="B31">
        <v>1631</v>
      </c>
      <c r="C31">
        <v>1503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BE0A0-BC90-4A13-B727-70AE4B6421BB}">
  <dimension ref="C1:E32"/>
  <sheetViews>
    <sheetView workbookViewId="0">
      <selection sqref="A1:D32"/>
    </sheetView>
  </sheetViews>
  <sheetFormatPr defaultRowHeight="15" x14ac:dyDescent="0.25"/>
  <cols>
    <col min="1" max="1" width="16.28515625" bestFit="1" customWidth="1"/>
    <col min="2" max="2" width="14.42578125" bestFit="1" customWidth="1"/>
    <col min="3" max="3" width="16.28515625" bestFit="1" customWidth="1"/>
    <col min="4" max="4" width="14.42578125" bestFit="1" customWidth="1"/>
    <col min="5" max="5" width="16.28515625" bestFit="1" customWidth="1"/>
    <col min="6" max="6" width="14.42578125" bestFit="1" customWidth="1"/>
    <col min="7" max="7" width="12.7109375" bestFit="1" customWidth="1"/>
    <col min="8" max="8" width="10.28515625" bestFit="1" customWidth="1"/>
    <col min="9" max="10" width="15.140625" bestFit="1" customWidth="1"/>
    <col min="11" max="11" width="15.85546875" bestFit="1" customWidth="1"/>
    <col min="12" max="12" width="16.5703125" bestFit="1" customWidth="1"/>
    <col min="13" max="13" width="10.5703125" bestFit="1" customWidth="1"/>
    <col min="14" max="14" width="11.42578125" bestFit="1" customWidth="1"/>
    <col min="15" max="15" width="12.28515625" bestFit="1" customWidth="1"/>
    <col min="16" max="16" width="9" bestFit="1" customWidth="1"/>
    <col min="17" max="17" width="14.28515625" bestFit="1" customWidth="1"/>
    <col min="18" max="18" width="9.85546875" bestFit="1" customWidth="1"/>
    <col min="19" max="19" width="12" bestFit="1" customWidth="1"/>
    <col min="20" max="20" width="12.5703125" bestFit="1" customWidth="1"/>
    <col min="21" max="21" width="14.140625" bestFit="1" customWidth="1"/>
    <col min="22" max="22" width="14" bestFit="1" customWidth="1"/>
    <col min="23" max="23" width="16.140625" bestFit="1" customWidth="1"/>
    <col min="24" max="24" width="14" bestFit="1" customWidth="1"/>
    <col min="25" max="25" width="13.7109375" bestFit="1" customWidth="1"/>
    <col min="26" max="26" width="13.85546875" bestFit="1" customWidth="1"/>
    <col min="27" max="27" width="10.7109375" bestFit="1" customWidth="1"/>
    <col min="28" max="28" width="13.85546875" bestFit="1" customWidth="1"/>
    <col min="29" max="29" width="14.140625" bestFit="1" customWidth="1"/>
    <col min="30" max="30" width="12.85546875" bestFit="1" customWidth="1"/>
    <col min="31" max="31" width="12.7109375" bestFit="1" customWidth="1"/>
    <col min="32" max="33" width="11.28515625" bestFit="1" customWidth="1"/>
    <col min="34" max="34" width="11.7109375" bestFit="1" customWidth="1"/>
    <col min="35" max="35" width="9.7109375" bestFit="1" customWidth="1"/>
    <col min="36" max="36" width="15.28515625" bestFit="1" customWidth="1"/>
    <col min="37" max="37" width="13.85546875" bestFit="1" customWidth="1"/>
    <col min="38" max="38" width="13.7109375" bestFit="1" customWidth="1"/>
    <col min="39" max="39" width="14.42578125" bestFit="1" customWidth="1"/>
    <col min="40" max="40" width="12.28515625" bestFit="1" customWidth="1"/>
    <col min="41" max="41" width="12.42578125" bestFit="1" customWidth="1"/>
    <col min="42" max="42" width="11.28515625" bestFit="1" customWidth="1"/>
    <col min="43" max="43" width="11.5703125" bestFit="1" customWidth="1"/>
    <col min="44" max="44" width="13.7109375" bestFit="1" customWidth="1"/>
    <col min="45" max="45" width="14.5703125" bestFit="1" customWidth="1"/>
    <col min="46" max="46" width="17.28515625" bestFit="1" customWidth="1"/>
    <col min="47" max="47" width="12.85546875" bestFit="1" customWidth="1"/>
    <col min="48" max="48" width="16.28515625" bestFit="1" customWidth="1"/>
    <col min="49" max="49" width="13.42578125" bestFit="1" customWidth="1"/>
    <col min="50" max="50" width="17.28515625" bestFit="1" customWidth="1"/>
    <col min="51" max="51" width="11.5703125" bestFit="1" customWidth="1"/>
    <col min="52" max="52" width="11.28515625" bestFit="1" customWidth="1"/>
    <col min="53" max="53" width="12" bestFit="1" customWidth="1"/>
    <col min="54" max="54" width="13.7109375" bestFit="1" customWidth="1"/>
    <col min="55" max="55" width="12" bestFit="1" customWidth="1"/>
    <col min="56" max="57" width="12.7109375" bestFit="1" customWidth="1"/>
    <col min="58" max="58" width="12" bestFit="1" customWidth="1"/>
    <col min="59" max="59" width="11.42578125" bestFit="1" customWidth="1"/>
    <col min="60" max="60" width="12" bestFit="1" customWidth="1"/>
    <col min="61" max="61" width="12.7109375" bestFit="1" customWidth="1"/>
    <col min="62" max="62" width="12" bestFit="1" customWidth="1"/>
    <col min="63" max="63" width="14" bestFit="1" customWidth="1"/>
    <col min="64" max="64" width="12" bestFit="1" customWidth="1"/>
    <col min="65" max="65" width="16.28515625" bestFit="1" customWidth="1"/>
    <col min="66" max="66" width="12" bestFit="1" customWidth="1"/>
    <col min="67" max="67" width="13.85546875" bestFit="1" customWidth="1"/>
    <col min="68" max="68" width="12" bestFit="1" customWidth="1"/>
    <col min="69" max="69" width="15.28515625" bestFit="1" customWidth="1"/>
    <col min="70" max="70" width="12" bestFit="1" customWidth="1"/>
    <col min="71" max="71" width="15.85546875" bestFit="1" customWidth="1"/>
    <col min="72" max="72" width="12" bestFit="1" customWidth="1"/>
    <col min="73" max="73" width="13.42578125" bestFit="1" customWidth="1"/>
    <col min="74" max="74" width="12" bestFit="1" customWidth="1"/>
    <col min="75" max="76" width="14.5703125" bestFit="1" customWidth="1"/>
    <col min="77" max="77" width="12" bestFit="1" customWidth="1"/>
    <col min="78" max="78" width="14.42578125" bestFit="1" customWidth="1"/>
    <col min="79" max="79" width="12" bestFit="1" customWidth="1"/>
    <col min="80" max="81" width="12.5703125" bestFit="1" customWidth="1"/>
    <col min="82" max="82" width="12" bestFit="1" customWidth="1"/>
    <col min="83" max="83" width="12.85546875" bestFit="1" customWidth="1"/>
    <col min="84" max="84" width="12" bestFit="1" customWidth="1"/>
    <col min="85" max="85" width="9.7109375" bestFit="1" customWidth="1"/>
    <col min="86" max="86" width="12" bestFit="1" customWidth="1"/>
    <col min="87" max="87" width="13.7109375" bestFit="1" customWidth="1"/>
    <col min="88" max="88" width="12" bestFit="1" customWidth="1"/>
    <col min="89" max="89" width="11.5703125" bestFit="1" customWidth="1"/>
    <col min="90" max="90" width="12" bestFit="1" customWidth="1"/>
    <col min="91" max="91" width="14" bestFit="1" customWidth="1"/>
    <col min="92" max="92" width="12" bestFit="1" customWidth="1"/>
    <col min="93" max="93" width="11.28515625" bestFit="1" customWidth="1"/>
    <col min="94" max="94" width="12" bestFit="1" customWidth="1"/>
    <col min="95" max="95" width="16.140625" bestFit="1" customWidth="1"/>
    <col min="96" max="96" width="12" bestFit="1" customWidth="1"/>
    <col min="97" max="97" width="11.28515625" bestFit="1" customWidth="1"/>
  </cols>
  <sheetData>
    <row r="1" spans="3:5" ht="19.5" x14ac:dyDescent="0.25">
      <c r="C1" s="28" t="s">
        <v>44</v>
      </c>
      <c r="D1" s="28"/>
      <c r="E1" s="28"/>
    </row>
    <row r="3" spans="3:5" x14ac:dyDescent="0.25">
      <c r="C3" s="25" t="s">
        <v>33</v>
      </c>
      <c r="D3" t="s">
        <v>45</v>
      </c>
    </row>
    <row r="5" spans="3:5" x14ac:dyDescent="0.25">
      <c r="C5" s="25" t="s">
        <v>42</v>
      </c>
      <c r="D5" t="s">
        <v>107</v>
      </c>
    </row>
    <row r="6" spans="3:5" x14ac:dyDescent="0.25">
      <c r="C6" s="26" t="s">
        <v>75</v>
      </c>
      <c r="D6" s="27">
        <v>1</v>
      </c>
    </row>
    <row r="7" spans="3:5" x14ac:dyDescent="0.25">
      <c r="C7" s="26" t="s">
        <v>67</v>
      </c>
      <c r="D7" s="27">
        <v>1</v>
      </c>
    </row>
    <row r="8" spans="3:5" x14ac:dyDescent="0.25">
      <c r="C8" s="26" t="s">
        <v>99</v>
      </c>
      <c r="D8" s="27">
        <v>1</v>
      </c>
    </row>
    <row r="9" spans="3:5" x14ac:dyDescent="0.25">
      <c r="C9" s="26" t="s">
        <v>59</v>
      </c>
      <c r="D9" s="27">
        <v>1</v>
      </c>
    </row>
    <row r="10" spans="3:5" x14ac:dyDescent="0.25">
      <c r="C10" s="26" t="s">
        <v>97</v>
      </c>
      <c r="D10" s="27">
        <v>1</v>
      </c>
    </row>
    <row r="11" spans="3:5" x14ac:dyDescent="0.25">
      <c r="C11" s="26" t="s">
        <v>65</v>
      </c>
      <c r="D11" s="27">
        <v>1</v>
      </c>
    </row>
    <row r="12" spans="3:5" x14ac:dyDescent="0.25">
      <c r="C12" s="26" t="s">
        <v>77</v>
      </c>
      <c r="D12" s="27">
        <v>1</v>
      </c>
    </row>
    <row r="13" spans="3:5" x14ac:dyDescent="0.25">
      <c r="C13" s="26" t="s">
        <v>55</v>
      </c>
      <c r="D13" s="27">
        <v>1</v>
      </c>
    </row>
    <row r="14" spans="3:5" x14ac:dyDescent="0.25">
      <c r="C14" s="26" t="s">
        <v>73</v>
      </c>
      <c r="D14" s="27">
        <v>1</v>
      </c>
    </row>
    <row r="15" spans="3:5" x14ac:dyDescent="0.25">
      <c r="C15" s="26" t="s">
        <v>79</v>
      </c>
      <c r="D15" s="27">
        <v>1</v>
      </c>
    </row>
    <row r="16" spans="3:5" x14ac:dyDescent="0.25">
      <c r="C16" s="26" t="s">
        <v>89</v>
      </c>
      <c r="D16" s="27">
        <v>1</v>
      </c>
    </row>
    <row r="17" spans="3:4" x14ac:dyDescent="0.25">
      <c r="C17" s="26" t="s">
        <v>71</v>
      </c>
      <c r="D17" s="27">
        <v>1</v>
      </c>
    </row>
    <row r="18" spans="3:4" x14ac:dyDescent="0.25">
      <c r="C18" s="26" t="s">
        <v>63</v>
      </c>
      <c r="D18" s="27">
        <v>1</v>
      </c>
    </row>
    <row r="19" spans="3:4" x14ac:dyDescent="0.25">
      <c r="C19" s="26" t="s">
        <v>54</v>
      </c>
      <c r="D19" s="27">
        <v>1</v>
      </c>
    </row>
    <row r="20" spans="3:4" x14ac:dyDescent="0.25">
      <c r="C20" s="26" t="s">
        <v>103</v>
      </c>
      <c r="D20" s="27">
        <v>1</v>
      </c>
    </row>
    <row r="21" spans="3:4" x14ac:dyDescent="0.25">
      <c r="C21" s="26" t="s">
        <v>101</v>
      </c>
      <c r="D21" s="27">
        <v>1</v>
      </c>
    </row>
    <row r="22" spans="3:4" x14ac:dyDescent="0.25">
      <c r="C22" s="26" t="s">
        <v>85</v>
      </c>
      <c r="D22" s="27">
        <v>1</v>
      </c>
    </row>
    <row r="23" spans="3:4" x14ac:dyDescent="0.25">
      <c r="C23" s="26" t="s">
        <v>93</v>
      </c>
      <c r="D23" s="27">
        <v>1</v>
      </c>
    </row>
    <row r="24" spans="3:4" x14ac:dyDescent="0.25">
      <c r="C24" s="26" t="s">
        <v>69</v>
      </c>
      <c r="D24" s="27">
        <v>1</v>
      </c>
    </row>
    <row r="25" spans="3:4" x14ac:dyDescent="0.25">
      <c r="C25" s="26" t="s">
        <v>91</v>
      </c>
      <c r="D25" s="27">
        <v>1</v>
      </c>
    </row>
    <row r="26" spans="3:4" x14ac:dyDescent="0.25">
      <c r="C26" s="26" t="s">
        <v>57</v>
      </c>
      <c r="D26" s="27">
        <v>1</v>
      </c>
    </row>
    <row r="27" spans="3:4" x14ac:dyDescent="0.25">
      <c r="C27" s="26" t="s">
        <v>81</v>
      </c>
      <c r="D27" s="27">
        <v>1</v>
      </c>
    </row>
    <row r="28" spans="3:4" x14ac:dyDescent="0.25">
      <c r="C28" s="26" t="s">
        <v>61</v>
      </c>
      <c r="D28" s="27">
        <v>1</v>
      </c>
    </row>
    <row r="29" spans="3:4" x14ac:dyDescent="0.25">
      <c r="C29" s="26" t="s">
        <v>95</v>
      </c>
      <c r="D29" s="27">
        <v>1</v>
      </c>
    </row>
    <row r="30" spans="3:4" x14ac:dyDescent="0.25">
      <c r="C30" s="26" t="s">
        <v>83</v>
      </c>
      <c r="D30" s="27">
        <v>1</v>
      </c>
    </row>
    <row r="31" spans="3:4" x14ac:dyDescent="0.25">
      <c r="C31" s="26" t="s">
        <v>87</v>
      </c>
      <c r="D31" s="27">
        <v>1</v>
      </c>
    </row>
    <row r="32" spans="3:4" x14ac:dyDescent="0.25">
      <c r="C32" s="26" t="s">
        <v>43</v>
      </c>
      <c r="D32" s="27">
        <v>26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456DE-5976-479B-B6A9-7C0C00717A77}">
  <dimension ref="F1:H11"/>
  <sheetViews>
    <sheetView tabSelected="1" workbookViewId="0">
      <selection activeCell="G19" sqref="G19"/>
    </sheetView>
  </sheetViews>
  <sheetFormatPr defaultRowHeight="15" x14ac:dyDescent="0.25"/>
  <cols>
    <col min="1" max="1" width="13.140625" bestFit="1" customWidth="1"/>
    <col min="2" max="2" width="15.85546875" bestFit="1" customWidth="1"/>
    <col min="6" max="6" width="13.140625" bestFit="1" customWidth="1"/>
    <col min="7" max="7" width="15.85546875" customWidth="1"/>
  </cols>
  <sheetData>
    <row r="1" spans="6:8" x14ac:dyDescent="0.25">
      <c r="F1" s="32" t="s">
        <v>108</v>
      </c>
      <c r="G1" s="32"/>
      <c r="H1" s="32"/>
    </row>
    <row r="3" spans="6:8" x14ac:dyDescent="0.25">
      <c r="F3" s="25" t="s">
        <v>33</v>
      </c>
      <c r="G3" t="s">
        <v>41</v>
      </c>
    </row>
    <row r="5" spans="6:8" x14ac:dyDescent="0.25">
      <c r="F5" s="29" t="s">
        <v>42</v>
      </c>
      <c r="G5" s="29" t="s">
        <v>106</v>
      </c>
    </row>
    <row r="6" spans="6:8" x14ac:dyDescent="0.25">
      <c r="F6" s="26" t="s">
        <v>51</v>
      </c>
      <c r="G6" s="27">
        <v>5</v>
      </c>
    </row>
    <row r="7" spans="6:8" x14ac:dyDescent="0.25">
      <c r="F7" s="26" t="s">
        <v>49</v>
      </c>
      <c r="G7" s="27">
        <v>2</v>
      </c>
    </row>
    <row r="8" spans="6:8" x14ac:dyDescent="0.25">
      <c r="F8" s="26" t="s">
        <v>48</v>
      </c>
      <c r="G8" s="27">
        <v>7</v>
      </c>
    </row>
    <row r="9" spans="6:8" x14ac:dyDescent="0.25">
      <c r="F9" s="26" t="s">
        <v>52</v>
      </c>
      <c r="G9" s="27">
        <v>5</v>
      </c>
    </row>
    <row r="10" spans="6:8" x14ac:dyDescent="0.25">
      <c r="F10" s="26" t="s">
        <v>50</v>
      </c>
      <c r="G10" s="27">
        <v>5</v>
      </c>
    </row>
    <row r="11" spans="6:8" x14ac:dyDescent="0.25">
      <c r="F11" s="31" t="s">
        <v>43</v>
      </c>
      <c r="G11" s="30">
        <v>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83DDB-1940-4409-8459-A89E83D20195}">
  <dimension ref="A3:C10"/>
  <sheetViews>
    <sheetView workbookViewId="0">
      <selection activeCell="A3" sqref="A3:C10"/>
    </sheetView>
  </sheetViews>
  <sheetFormatPr defaultRowHeight="15" x14ac:dyDescent="0.25"/>
  <cols>
    <col min="1" max="1" width="21.140625" bestFit="1" customWidth="1"/>
    <col min="2" max="3" width="12" bestFit="1" customWidth="1"/>
  </cols>
  <sheetData>
    <row r="3" spans="1:3" x14ac:dyDescent="0.25">
      <c r="A3" s="25" t="s">
        <v>110</v>
      </c>
      <c r="B3" s="25" t="s">
        <v>33</v>
      </c>
    </row>
    <row r="4" spans="1:3" x14ac:dyDescent="0.25">
      <c r="A4" s="25" t="s">
        <v>32</v>
      </c>
      <c r="B4" t="s">
        <v>45</v>
      </c>
      <c r="C4" t="s">
        <v>41</v>
      </c>
    </row>
    <row r="5" spans="1:3" x14ac:dyDescent="0.25">
      <c r="A5" t="s">
        <v>51</v>
      </c>
      <c r="B5" s="27">
        <v>0.56600000000000006</v>
      </c>
      <c r="C5" s="27">
        <v>0.65319999999999989</v>
      </c>
    </row>
    <row r="6" spans="1:3" x14ac:dyDescent="0.25">
      <c r="A6" t="s">
        <v>49</v>
      </c>
      <c r="B6" s="27">
        <v>0.60799999999999998</v>
      </c>
      <c r="C6" s="27">
        <v>0.497</v>
      </c>
    </row>
    <row r="7" spans="1:3" x14ac:dyDescent="0.25">
      <c r="A7" t="s">
        <v>48</v>
      </c>
      <c r="B7" s="27">
        <v>0.56533333333333335</v>
      </c>
      <c r="C7" s="27">
        <v>0.59885714285714287</v>
      </c>
    </row>
    <row r="8" spans="1:3" x14ac:dyDescent="0.25">
      <c r="A8" t="s">
        <v>52</v>
      </c>
      <c r="B8" s="27">
        <v>0.64759999999999995</v>
      </c>
      <c r="C8" s="27">
        <v>0.58200000000000007</v>
      </c>
    </row>
    <row r="9" spans="1:3" x14ac:dyDescent="0.25">
      <c r="A9" t="s">
        <v>50</v>
      </c>
      <c r="B9" s="27">
        <v>0.65160000000000007</v>
      </c>
      <c r="C9" s="27">
        <v>0.56880000000000008</v>
      </c>
    </row>
    <row r="10" spans="1:3" x14ac:dyDescent="0.25">
      <c r="A10" t="s">
        <v>53</v>
      </c>
      <c r="B10" s="27">
        <v>0.62160000000000004</v>
      </c>
      <c r="C10" s="2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30F62-8126-401E-ABE5-BEE848679CF4}">
  <dimension ref="A1:P51"/>
  <sheetViews>
    <sheetView workbookViewId="0">
      <selection sqref="A1:P51"/>
    </sheetView>
  </sheetViews>
  <sheetFormatPr defaultRowHeight="15" x14ac:dyDescent="0.25"/>
  <cols>
    <col min="4" max="4" width="10.28515625" customWidth="1"/>
    <col min="6" max="10" width="12.140625" customWidth="1"/>
    <col min="12" max="12" width="11.140625" customWidth="1"/>
    <col min="13" max="13" width="14.140625" customWidth="1"/>
    <col min="14" max="14" width="10.140625" customWidth="1"/>
    <col min="15" max="15" width="13.5703125" customWidth="1"/>
    <col min="16" max="16" width="11.42578125" customWidth="1"/>
  </cols>
  <sheetData>
    <row r="1" spans="1:16" ht="15.75" x14ac:dyDescent="0.25">
      <c r="A1" s="22" t="s">
        <v>31</v>
      </c>
      <c r="B1" s="22" t="s">
        <v>0</v>
      </c>
      <c r="C1" s="22" t="s">
        <v>32</v>
      </c>
      <c r="D1" s="22" t="s">
        <v>33</v>
      </c>
      <c r="E1" s="22" t="s">
        <v>34</v>
      </c>
      <c r="F1" s="22" t="s">
        <v>35</v>
      </c>
      <c r="G1" s="22" t="s">
        <v>36</v>
      </c>
      <c r="H1" s="22" t="s">
        <v>37</v>
      </c>
      <c r="I1" s="22" t="s">
        <v>38</v>
      </c>
      <c r="J1" s="22" t="s">
        <v>39</v>
      </c>
      <c r="K1" s="22" t="s">
        <v>25</v>
      </c>
      <c r="L1" s="22" t="s">
        <v>26</v>
      </c>
      <c r="M1" s="22" t="s">
        <v>24</v>
      </c>
      <c r="N1" s="22" t="s">
        <v>40</v>
      </c>
      <c r="O1" s="22" t="s">
        <v>46</v>
      </c>
      <c r="P1" s="22" t="s">
        <v>47</v>
      </c>
    </row>
    <row r="2" spans="1:16" x14ac:dyDescent="0.25">
      <c r="A2">
        <v>1</v>
      </c>
      <c r="B2" t="s">
        <v>54</v>
      </c>
      <c r="C2" t="s">
        <v>49</v>
      </c>
      <c r="D2" t="s">
        <v>45</v>
      </c>
      <c r="E2">
        <v>20</v>
      </c>
      <c r="F2">
        <v>89</v>
      </c>
      <c r="G2">
        <f t="shared" ref="G2:G33" ca="1" si="0">RANDBETWEEN(20,100)</f>
        <v>88</v>
      </c>
      <c r="H2">
        <f t="shared" ref="H2:H33" ca="1" si="1">RANDBETWEEN(35,95)</f>
        <v>82</v>
      </c>
      <c r="I2">
        <f t="shared" ref="I2:I33" ca="1" si="2">RANDBETWEEN(30,100)</f>
        <v>95</v>
      </c>
      <c r="J2">
        <f t="shared" ref="J2:J33" ca="1" si="3">RANDBETWEEN(20,100)</f>
        <v>83</v>
      </c>
      <c r="K2">
        <f t="shared" ref="K2:K33" ca="1" si="4">SUM(F2:J2)</f>
        <v>437</v>
      </c>
      <c r="L2">
        <f t="shared" ref="L2:L33" ca="1" si="5">SUM(F2:J2)/5</f>
        <v>87.4</v>
      </c>
      <c r="M2" s="21">
        <f t="shared" ref="M2:M33" ca="1" si="6">SUM(F2:J2)/500</f>
        <v>0.874</v>
      </c>
      <c r="N2" t="str">
        <f t="shared" ref="N2:N33" ca="1" si="7">IF(L2&gt;80,"A",IF(L2&gt;70,"B",IF(L2&gt;60,"C","D")))</f>
        <v>A</v>
      </c>
    </row>
    <row r="3" spans="1:16" x14ac:dyDescent="0.25">
      <c r="A3" s="23">
        <v>2</v>
      </c>
      <c r="B3" s="23" t="s">
        <v>55</v>
      </c>
      <c r="C3" s="23" t="s">
        <v>50</v>
      </c>
      <c r="D3" s="23" t="s">
        <v>45</v>
      </c>
      <c r="E3" s="23">
        <v>21</v>
      </c>
      <c r="F3" s="23">
        <v>78</v>
      </c>
      <c r="G3" s="23">
        <f t="shared" ca="1" si="0"/>
        <v>59</v>
      </c>
      <c r="H3" s="23">
        <f t="shared" ca="1" si="1"/>
        <v>75</v>
      </c>
      <c r="I3" s="23">
        <f t="shared" ca="1" si="2"/>
        <v>74</v>
      </c>
      <c r="J3" s="23">
        <f t="shared" ca="1" si="3"/>
        <v>62</v>
      </c>
      <c r="K3" s="23">
        <f t="shared" ca="1" si="4"/>
        <v>348</v>
      </c>
      <c r="L3" s="23">
        <f t="shared" ca="1" si="5"/>
        <v>69.599999999999994</v>
      </c>
      <c r="M3" s="24">
        <f t="shared" ca="1" si="6"/>
        <v>0.69599999999999995</v>
      </c>
      <c r="N3" s="23" t="str">
        <f t="shared" ca="1" si="7"/>
        <v>C</v>
      </c>
    </row>
    <row r="4" spans="1:16" x14ac:dyDescent="0.25">
      <c r="A4">
        <v>3</v>
      </c>
      <c r="B4" t="s">
        <v>56</v>
      </c>
      <c r="C4" t="s">
        <v>52</v>
      </c>
      <c r="D4" t="s">
        <v>41</v>
      </c>
      <c r="E4">
        <v>19</v>
      </c>
      <c r="F4">
        <v>54</v>
      </c>
      <c r="G4">
        <f t="shared" ca="1" si="0"/>
        <v>41</v>
      </c>
      <c r="H4">
        <f t="shared" ca="1" si="1"/>
        <v>84</v>
      </c>
      <c r="I4">
        <f t="shared" ca="1" si="2"/>
        <v>93</v>
      </c>
      <c r="J4">
        <f t="shared" ca="1" si="3"/>
        <v>50</v>
      </c>
      <c r="K4">
        <f t="shared" ca="1" si="4"/>
        <v>322</v>
      </c>
      <c r="L4">
        <f t="shared" ca="1" si="5"/>
        <v>64.400000000000006</v>
      </c>
      <c r="M4" s="21">
        <f t="shared" ca="1" si="6"/>
        <v>0.64400000000000002</v>
      </c>
      <c r="N4" t="str">
        <f t="shared" ca="1" si="7"/>
        <v>C</v>
      </c>
    </row>
    <row r="5" spans="1:16" x14ac:dyDescent="0.25">
      <c r="A5" s="23">
        <v>4</v>
      </c>
      <c r="B5" s="23" t="s">
        <v>57</v>
      </c>
      <c r="C5" s="23" t="s">
        <v>51</v>
      </c>
      <c r="D5" s="23" t="s">
        <v>45</v>
      </c>
      <c r="E5" s="23">
        <v>18</v>
      </c>
      <c r="F5" s="23">
        <v>58</v>
      </c>
      <c r="G5" s="23">
        <f t="shared" ca="1" si="0"/>
        <v>85</v>
      </c>
      <c r="H5" s="23">
        <f t="shared" ca="1" si="1"/>
        <v>45</v>
      </c>
      <c r="I5" s="23">
        <f t="shared" ca="1" si="2"/>
        <v>62</v>
      </c>
      <c r="J5" s="23">
        <f t="shared" ca="1" si="3"/>
        <v>54</v>
      </c>
      <c r="K5" s="23">
        <f t="shared" ca="1" si="4"/>
        <v>304</v>
      </c>
      <c r="L5" s="23">
        <f t="shared" ca="1" si="5"/>
        <v>60.8</v>
      </c>
      <c r="M5" s="24">
        <f t="shared" ca="1" si="6"/>
        <v>0.60799999999999998</v>
      </c>
      <c r="N5" s="23" t="str">
        <f t="shared" ca="1" si="7"/>
        <v>C</v>
      </c>
    </row>
    <row r="6" spans="1:16" x14ac:dyDescent="0.25">
      <c r="A6">
        <v>5</v>
      </c>
      <c r="B6" t="s">
        <v>58</v>
      </c>
      <c r="C6" t="s">
        <v>51</v>
      </c>
      <c r="D6" t="s">
        <v>41</v>
      </c>
      <c r="E6">
        <v>20</v>
      </c>
      <c r="F6">
        <v>36</v>
      </c>
      <c r="G6">
        <f t="shared" ca="1" si="0"/>
        <v>57</v>
      </c>
      <c r="H6">
        <f t="shared" ca="1" si="1"/>
        <v>88</v>
      </c>
      <c r="I6">
        <f t="shared" ca="1" si="2"/>
        <v>95</v>
      </c>
      <c r="J6">
        <f t="shared" ca="1" si="3"/>
        <v>40</v>
      </c>
      <c r="K6">
        <f t="shared" ca="1" si="4"/>
        <v>316</v>
      </c>
      <c r="L6">
        <f t="shared" ca="1" si="5"/>
        <v>63.2</v>
      </c>
      <c r="M6" s="21">
        <f t="shared" ca="1" si="6"/>
        <v>0.63200000000000001</v>
      </c>
      <c r="N6" t="str">
        <f t="shared" ca="1" si="7"/>
        <v>C</v>
      </c>
    </row>
    <row r="7" spans="1:16" x14ac:dyDescent="0.25">
      <c r="A7" s="23">
        <v>6</v>
      </c>
      <c r="B7" s="23" t="s">
        <v>59</v>
      </c>
      <c r="C7" s="23" t="s">
        <v>52</v>
      </c>
      <c r="D7" s="23" t="s">
        <v>45</v>
      </c>
      <c r="E7" s="23">
        <v>21</v>
      </c>
      <c r="F7" s="23">
        <v>45</v>
      </c>
      <c r="G7" s="23">
        <f t="shared" ca="1" si="0"/>
        <v>51</v>
      </c>
      <c r="H7" s="23">
        <f t="shared" ca="1" si="1"/>
        <v>46</v>
      </c>
      <c r="I7" s="23">
        <f t="shared" ca="1" si="2"/>
        <v>47</v>
      </c>
      <c r="J7" s="23">
        <f t="shared" ca="1" si="3"/>
        <v>44</v>
      </c>
      <c r="K7" s="23">
        <f t="shared" ca="1" si="4"/>
        <v>233</v>
      </c>
      <c r="L7" s="23">
        <f t="shared" ca="1" si="5"/>
        <v>46.6</v>
      </c>
      <c r="M7" s="24">
        <f t="shared" ca="1" si="6"/>
        <v>0.46600000000000003</v>
      </c>
      <c r="N7" s="23" t="str">
        <f t="shared" ca="1" si="7"/>
        <v>D</v>
      </c>
    </row>
    <row r="8" spans="1:16" x14ac:dyDescent="0.25">
      <c r="A8">
        <v>7</v>
      </c>
      <c r="B8" t="s">
        <v>60</v>
      </c>
      <c r="C8" t="s">
        <v>50</v>
      </c>
      <c r="D8" t="s">
        <v>41</v>
      </c>
      <c r="E8">
        <v>19</v>
      </c>
      <c r="F8">
        <v>72</v>
      </c>
      <c r="G8">
        <f t="shared" ca="1" si="0"/>
        <v>73</v>
      </c>
      <c r="H8">
        <f t="shared" ca="1" si="1"/>
        <v>95</v>
      </c>
      <c r="I8">
        <f t="shared" ca="1" si="2"/>
        <v>59</v>
      </c>
      <c r="J8">
        <f t="shared" ca="1" si="3"/>
        <v>97</v>
      </c>
      <c r="K8">
        <f t="shared" ca="1" si="4"/>
        <v>396</v>
      </c>
      <c r="L8">
        <f t="shared" ca="1" si="5"/>
        <v>79.2</v>
      </c>
      <c r="M8" s="21">
        <f t="shared" ca="1" si="6"/>
        <v>0.79200000000000004</v>
      </c>
      <c r="N8" t="str">
        <f t="shared" ca="1" si="7"/>
        <v>B</v>
      </c>
    </row>
    <row r="9" spans="1:16" x14ac:dyDescent="0.25">
      <c r="A9" s="23">
        <v>8</v>
      </c>
      <c r="B9" s="23" t="s">
        <v>61</v>
      </c>
      <c r="C9" s="23" t="s">
        <v>49</v>
      </c>
      <c r="D9" s="23" t="s">
        <v>45</v>
      </c>
      <c r="E9" s="23">
        <v>18</v>
      </c>
      <c r="F9" s="23">
        <v>45</v>
      </c>
      <c r="G9" s="23">
        <f t="shared" ca="1" si="0"/>
        <v>78</v>
      </c>
      <c r="H9" s="23">
        <f t="shared" ca="1" si="1"/>
        <v>81</v>
      </c>
      <c r="I9" s="23">
        <f t="shared" ca="1" si="2"/>
        <v>72</v>
      </c>
      <c r="J9" s="23">
        <f t="shared" ca="1" si="3"/>
        <v>34</v>
      </c>
      <c r="K9" s="23">
        <f t="shared" ca="1" si="4"/>
        <v>310</v>
      </c>
      <c r="L9" s="23">
        <f t="shared" ca="1" si="5"/>
        <v>62</v>
      </c>
      <c r="M9" s="24">
        <f t="shared" ca="1" si="6"/>
        <v>0.62</v>
      </c>
      <c r="N9" s="23" t="str">
        <f t="shared" ca="1" si="7"/>
        <v>C</v>
      </c>
    </row>
    <row r="10" spans="1:16" x14ac:dyDescent="0.25">
      <c r="A10">
        <v>9</v>
      </c>
      <c r="B10" t="s">
        <v>62</v>
      </c>
      <c r="C10" t="s">
        <v>49</v>
      </c>
      <c r="D10" t="s">
        <v>41</v>
      </c>
      <c r="E10">
        <v>20</v>
      </c>
      <c r="F10">
        <v>75</v>
      </c>
      <c r="G10">
        <f t="shared" ca="1" si="0"/>
        <v>93</v>
      </c>
      <c r="H10">
        <f t="shared" ca="1" si="1"/>
        <v>61</v>
      </c>
      <c r="I10">
        <f t="shared" ca="1" si="2"/>
        <v>30</v>
      </c>
      <c r="J10">
        <f t="shared" ca="1" si="3"/>
        <v>60</v>
      </c>
      <c r="K10">
        <f t="shared" ca="1" si="4"/>
        <v>319</v>
      </c>
      <c r="L10">
        <f t="shared" ca="1" si="5"/>
        <v>63.8</v>
      </c>
      <c r="M10" s="21">
        <f t="shared" ca="1" si="6"/>
        <v>0.63800000000000001</v>
      </c>
      <c r="N10" t="str">
        <f t="shared" ca="1" si="7"/>
        <v>C</v>
      </c>
    </row>
    <row r="11" spans="1:16" x14ac:dyDescent="0.25">
      <c r="A11" s="23">
        <v>10</v>
      </c>
      <c r="B11" s="23" t="s">
        <v>63</v>
      </c>
      <c r="C11" s="23" t="s">
        <v>52</v>
      </c>
      <c r="D11" s="23" t="s">
        <v>45</v>
      </c>
      <c r="E11" s="23">
        <v>21</v>
      </c>
      <c r="F11" s="23">
        <v>89</v>
      </c>
      <c r="G11" s="23">
        <f t="shared" ca="1" si="0"/>
        <v>35</v>
      </c>
      <c r="H11" s="23">
        <f t="shared" ca="1" si="1"/>
        <v>53</v>
      </c>
      <c r="I11" s="23">
        <f t="shared" ca="1" si="2"/>
        <v>40</v>
      </c>
      <c r="J11" s="23">
        <f t="shared" ca="1" si="3"/>
        <v>81</v>
      </c>
      <c r="K11" s="23">
        <f t="shared" ca="1" si="4"/>
        <v>298</v>
      </c>
      <c r="L11" s="23">
        <f t="shared" ca="1" si="5"/>
        <v>59.6</v>
      </c>
      <c r="M11" s="24">
        <f t="shared" ca="1" si="6"/>
        <v>0.59599999999999997</v>
      </c>
      <c r="N11" s="23" t="str">
        <f t="shared" ca="1" si="7"/>
        <v>D</v>
      </c>
    </row>
    <row r="12" spans="1:16" x14ac:dyDescent="0.25">
      <c r="A12">
        <v>11</v>
      </c>
      <c r="B12" t="s">
        <v>64</v>
      </c>
      <c r="C12" t="s">
        <v>49</v>
      </c>
      <c r="D12" t="s">
        <v>41</v>
      </c>
      <c r="E12">
        <v>19</v>
      </c>
      <c r="F12">
        <v>45</v>
      </c>
      <c r="G12">
        <f t="shared" ca="1" si="0"/>
        <v>43</v>
      </c>
      <c r="H12">
        <f t="shared" ca="1" si="1"/>
        <v>37</v>
      </c>
      <c r="I12">
        <f t="shared" ca="1" si="2"/>
        <v>80</v>
      </c>
      <c r="J12">
        <f t="shared" ca="1" si="3"/>
        <v>77</v>
      </c>
      <c r="K12">
        <f t="shared" ca="1" si="4"/>
        <v>282</v>
      </c>
      <c r="L12">
        <f t="shared" ca="1" si="5"/>
        <v>56.4</v>
      </c>
      <c r="M12" s="21">
        <f t="shared" ca="1" si="6"/>
        <v>0.56399999999999995</v>
      </c>
      <c r="N12" t="str">
        <f t="shared" ca="1" si="7"/>
        <v>D</v>
      </c>
    </row>
    <row r="13" spans="1:16" x14ac:dyDescent="0.25">
      <c r="A13" s="23">
        <v>12</v>
      </c>
      <c r="B13" s="23" t="s">
        <v>65</v>
      </c>
      <c r="C13" s="23" t="s">
        <v>50</v>
      </c>
      <c r="D13" s="23" t="s">
        <v>45</v>
      </c>
      <c r="E13" s="23">
        <v>18</v>
      </c>
      <c r="F13" s="23">
        <v>87</v>
      </c>
      <c r="G13" s="23">
        <f t="shared" ca="1" si="0"/>
        <v>49</v>
      </c>
      <c r="H13" s="23">
        <f t="shared" ca="1" si="1"/>
        <v>45</v>
      </c>
      <c r="I13" s="23">
        <f t="shared" ca="1" si="2"/>
        <v>95</v>
      </c>
      <c r="J13" s="23">
        <f t="shared" ca="1" si="3"/>
        <v>100</v>
      </c>
      <c r="K13" s="23">
        <f t="shared" ca="1" si="4"/>
        <v>376</v>
      </c>
      <c r="L13" s="23">
        <f t="shared" ca="1" si="5"/>
        <v>75.2</v>
      </c>
      <c r="M13" s="24">
        <f t="shared" ca="1" si="6"/>
        <v>0.752</v>
      </c>
      <c r="N13" s="23" t="str">
        <f t="shared" ca="1" si="7"/>
        <v>B</v>
      </c>
    </row>
    <row r="14" spans="1:16" x14ac:dyDescent="0.25">
      <c r="A14">
        <v>13</v>
      </c>
      <c r="B14" t="s">
        <v>66</v>
      </c>
      <c r="C14" t="s">
        <v>52</v>
      </c>
      <c r="D14" t="s">
        <v>41</v>
      </c>
      <c r="E14">
        <v>20</v>
      </c>
      <c r="F14">
        <v>79</v>
      </c>
      <c r="G14">
        <f t="shared" ca="1" si="0"/>
        <v>84</v>
      </c>
      <c r="H14">
        <f t="shared" ca="1" si="1"/>
        <v>75</v>
      </c>
      <c r="I14">
        <f t="shared" ca="1" si="2"/>
        <v>39</v>
      </c>
      <c r="J14">
        <f t="shared" ca="1" si="3"/>
        <v>20</v>
      </c>
      <c r="K14">
        <f t="shared" ca="1" si="4"/>
        <v>297</v>
      </c>
      <c r="L14">
        <f t="shared" ca="1" si="5"/>
        <v>59.4</v>
      </c>
      <c r="M14" s="21">
        <f t="shared" ca="1" si="6"/>
        <v>0.59399999999999997</v>
      </c>
      <c r="N14" t="str">
        <f t="shared" ca="1" si="7"/>
        <v>D</v>
      </c>
    </row>
    <row r="15" spans="1:16" x14ac:dyDescent="0.25">
      <c r="A15" s="23">
        <v>14</v>
      </c>
      <c r="B15" s="23" t="s">
        <v>67</v>
      </c>
      <c r="C15" s="23" t="s">
        <v>51</v>
      </c>
      <c r="D15" s="23" t="s">
        <v>45</v>
      </c>
      <c r="E15" s="23">
        <v>21</v>
      </c>
      <c r="F15" s="23">
        <v>52</v>
      </c>
      <c r="G15" s="23">
        <f t="shared" ca="1" si="0"/>
        <v>53</v>
      </c>
      <c r="H15" s="23">
        <f t="shared" ca="1" si="1"/>
        <v>74</v>
      </c>
      <c r="I15" s="23">
        <f t="shared" ca="1" si="2"/>
        <v>36</v>
      </c>
      <c r="J15" s="23">
        <f t="shared" ca="1" si="3"/>
        <v>73</v>
      </c>
      <c r="K15" s="23">
        <f t="shared" ca="1" si="4"/>
        <v>288</v>
      </c>
      <c r="L15" s="23">
        <f t="shared" ca="1" si="5"/>
        <v>57.6</v>
      </c>
      <c r="M15" s="24">
        <f t="shared" ca="1" si="6"/>
        <v>0.57599999999999996</v>
      </c>
      <c r="N15" s="23" t="str">
        <f t="shared" ca="1" si="7"/>
        <v>D</v>
      </c>
    </row>
    <row r="16" spans="1:16" x14ac:dyDescent="0.25">
      <c r="A16">
        <v>15</v>
      </c>
      <c r="B16" t="s">
        <v>68</v>
      </c>
      <c r="C16" t="s">
        <v>51</v>
      </c>
      <c r="D16" t="s">
        <v>41</v>
      </c>
      <c r="E16">
        <v>19</v>
      </c>
      <c r="F16">
        <v>96</v>
      </c>
      <c r="G16">
        <f t="shared" ca="1" si="0"/>
        <v>40</v>
      </c>
      <c r="H16">
        <f t="shared" ca="1" si="1"/>
        <v>91</v>
      </c>
      <c r="I16">
        <f t="shared" ca="1" si="2"/>
        <v>79</v>
      </c>
      <c r="J16">
        <f t="shared" ca="1" si="3"/>
        <v>99</v>
      </c>
      <c r="K16">
        <f t="shared" ca="1" si="4"/>
        <v>405</v>
      </c>
      <c r="L16">
        <f t="shared" ca="1" si="5"/>
        <v>81</v>
      </c>
      <c r="M16" s="21">
        <f t="shared" ca="1" si="6"/>
        <v>0.81</v>
      </c>
      <c r="N16" t="str">
        <f t="shared" ca="1" si="7"/>
        <v>A</v>
      </c>
    </row>
    <row r="17" spans="1:14" x14ac:dyDescent="0.25">
      <c r="A17" s="23">
        <v>16</v>
      </c>
      <c r="B17" s="23" t="s">
        <v>69</v>
      </c>
      <c r="C17" s="23" t="s">
        <v>53</v>
      </c>
      <c r="D17" s="23" t="s">
        <v>45</v>
      </c>
      <c r="E17" s="23">
        <v>18</v>
      </c>
      <c r="F17" s="23">
        <v>94</v>
      </c>
      <c r="G17" s="23">
        <f t="shared" ca="1" si="0"/>
        <v>45</v>
      </c>
      <c r="H17" s="23">
        <f t="shared" ca="1" si="1"/>
        <v>55</v>
      </c>
      <c r="I17" s="23">
        <f t="shared" ca="1" si="2"/>
        <v>81</v>
      </c>
      <c r="J17" s="23">
        <f t="shared" ca="1" si="3"/>
        <v>42</v>
      </c>
      <c r="K17" s="23">
        <f t="shared" ca="1" si="4"/>
        <v>317</v>
      </c>
      <c r="L17" s="23">
        <f t="shared" ca="1" si="5"/>
        <v>63.4</v>
      </c>
      <c r="M17" s="24">
        <f t="shared" ca="1" si="6"/>
        <v>0.63400000000000001</v>
      </c>
      <c r="N17" s="23" t="str">
        <f t="shared" ca="1" si="7"/>
        <v>C</v>
      </c>
    </row>
    <row r="18" spans="1:14" x14ac:dyDescent="0.25">
      <c r="A18">
        <v>17</v>
      </c>
      <c r="B18" t="s">
        <v>70</v>
      </c>
      <c r="C18" t="s">
        <v>50</v>
      </c>
      <c r="D18" t="s">
        <v>41</v>
      </c>
      <c r="E18">
        <v>20</v>
      </c>
      <c r="F18">
        <v>65</v>
      </c>
      <c r="G18">
        <f t="shared" ca="1" si="0"/>
        <v>60</v>
      </c>
      <c r="H18">
        <f t="shared" ca="1" si="1"/>
        <v>79</v>
      </c>
      <c r="I18">
        <f t="shared" ca="1" si="2"/>
        <v>89</v>
      </c>
      <c r="J18">
        <f t="shared" ca="1" si="3"/>
        <v>31</v>
      </c>
      <c r="K18">
        <f t="shared" ca="1" si="4"/>
        <v>324</v>
      </c>
      <c r="L18">
        <f t="shared" ca="1" si="5"/>
        <v>64.8</v>
      </c>
      <c r="M18" s="21">
        <f t="shared" ca="1" si="6"/>
        <v>0.64800000000000002</v>
      </c>
      <c r="N18" t="str">
        <f t="shared" ca="1" si="7"/>
        <v>C</v>
      </c>
    </row>
    <row r="19" spans="1:14" x14ac:dyDescent="0.25">
      <c r="A19" s="23">
        <v>18</v>
      </c>
      <c r="B19" s="23" t="s">
        <v>71</v>
      </c>
      <c r="C19" s="23" t="s">
        <v>49</v>
      </c>
      <c r="D19" s="23" t="s">
        <v>45</v>
      </c>
      <c r="E19" s="23">
        <v>20</v>
      </c>
      <c r="F19" s="23">
        <v>48</v>
      </c>
      <c r="G19" s="23">
        <f t="shared" ca="1" si="0"/>
        <v>20</v>
      </c>
      <c r="H19" s="23">
        <f t="shared" ca="1" si="1"/>
        <v>75</v>
      </c>
      <c r="I19" s="23">
        <f t="shared" ca="1" si="2"/>
        <v>76</v>
      </c>
      <c r="J19" s="23">
        <f t="shared" ca="1" si="3"/>
        <v>45</v>
      </c>
      <c r="K19" s="23">
        <f t="shared" ca="1" si="4"/>
        <v>264</v>
      </c>
      <c r="L19" s="23">
        <f t="shared" ca="1" si="5"/>
        <v>52.8</v>
      </c>
      <c r="M19" s="24">
        <f t="shared" ca="1" si="6"/>
        <v>0.52800000000000002</v>
      </c>
      <c r="N19" s="23" t="str">
        <f t="shared" ca="1" si="7"/>
        <v>D</v>
      </c>
    </row>
    <row r="20" spans="1:14" x14ac:dyDescent="0.25">
      <c r="A20">
        <v>19</v>
      </c>
      <c r="B20" t="s">
        <v>72</v>
      </c>
      <c r="C20" t="s">
        <v>48</v>
      </c>
      <c r="D20" t="s">
        <v>41</v>
      </c>
      <c r="E20">
        <v>21</v>
      </c>
      <c r="F20">
        <v>26</v>
      </c>
      <c r="G20">
        <f t="shared" ca="1" si="0"/>
        <v>99</v>
      </c>
      <c r="H20">
        <f t="shared" ca="1" si="1"/>
        <v>67</v>
      </c>
      <c r="I20">
        <f t="shared" ca="1" si="2"/>
        <v>50</v>
      </c>
      <c r="J20">
        <f t="shared" ca="1" si="3"/>
        <v>93</v>
      </c>
      <c r="K20">
        <f t="shared" ca="1" si="4"/>
        <v>335</v>
      </c>
      <c r="L20">
        <f t="shared" ca="1" si="5"/>
        <v>67</v>
      </c>
      <c r="M20" s="21">
        <f t="shared" ca="1" si="6"/>
        <v>0.67</v>
      </c>
      <c r="N20" t="str">
        <f t="shared" ca="1" si="7"/>
        <v>C</v>
      </c>
    </row>
    <row r="21" spans="1:14" x14ac:dyDescent="0.25">
      <c r="A21" s="23">
        <v>20</v>
      </c>
      <c r="B21" s="23" t="s">
        <v>73</v>
      </c>
      <c r="C21" s="23" t="s">
        <v>52</v>
      </c>
      <c r="D21" s="23" t="s">
        <v>45</v>
      </c>
      <c r="E21" s="23">
        <v>19</v>
      </c>
      <c r="F21" s="23">
        <v>84</v>
      </c>
      <c r="G21" s="23">
        <f t="shared" ca="1" si="0"/>
        <v>30</v>
      </c>
      <c r="H21" s="23">
        <f t="shared" ca="1" si="1"/>
        <v>70</v>
      </c>
      <c r="I21" s="23">
        <f t="shared" ca="1" si="2"/>
        <v>97</v>
      </c>
      <c r="J21" s="23">
        <f t="shared" ca="1" si="3"/>
        <v>74</v>
      </c>
      <c r="K21" s="23">
        <f t="shared" ca="1" si="4"/>
        <v>355</v>
      </c>
      <c r="L21" s="23">
        <f t="shared" ca="1" si="5"/>
        <v>71</v>
      </c>
      <c r="M21" s="24">
        <f t="shared" ca="1" si="6"/>
        <v>0.71</v>
      </c>
      <c r="N21" s="23" t="str">
        <f t="shared" ca="1" si="7"/>
        <v>B</v>
      </c>
    </row>
    <row r="22" spans="1:14" x14ac:dyDescent="0.25">
      <c r="A22">
        <v>21</v>
      </c>
      <c r="B22" t="s">
        <v>74</v>
      </c>
      <c r="C22" t="s">
        <v>48</v>
      </c>
      <c r="D22" t="s">
        <v>41</v>
      </c>
      <c r="E22">
        <v>18</v>
      </c>
      <c r="F22">
        <v>45</v>
      </c>
      <c r="G22">
        <f t="shared" ca="1" si="0"/>
        <v>20</v>
      </c>
      <c r="H22">
        <f t="shared" ca="1" si="1"/>
        <v>78</v>
      </c>
      <c r="I22">
        <f t="shared" ca="1" si="2"/>
        <v>35</v>
      </c>
      <c r="J22">
        <f t="shared" ca="1" si="3"/>
        <v>48</v>
      </c>
      <c r="K22">
        <f t="shared" ca="1" si="4"/>
        <v>226</v>
      </c>
      <c r="L22">
        <f t="shared" ca="1" si="5"/>
        <v>45.2</v>
      </c>
      <c r="M22" s="21">
        <f t="shared" ca="1" si="6"/>
        <v>0.45200000000000001</v>
      </c>
      <c r="N22" t="str">
        <f t="shared" ca="1" si="7"/>
        <v>D</v>
      </c>
    </row>
    <row r="23" spans="1:14" x14ac:dyDescent="0.25">
      <c r="A23" s="23">
        <v>22</v>
      </c>
      <c r="B23" s="23" t="s">
        <v>75</v>
      </c>
      <c r="C23" s="23" t="s">
        <v>50</v>
      </c>
      <c r="D23" s="23" t="s">
        <v>45</v>
      </c>
      <c r="E23" s="23">
        <v>20</v>
      </c>
      <c r="F23" s="23">
        <v>36</v>
      </c>
      <c r="G23" s="23">
        <f t="shared" ca="1" si="0"/>
        <v>90</v>
      </c>
      <c r="H23" s="23">
        <f t="shared" ca="1" si="1"/>
        <v>45</v>
      </c>
      <c r="I23" s="23">
        <f t="shared" ca="1" si="2"/>
        <v>76</v>
      </c>
      <c r="J23" s="23">
        <f t="shared" ca="1" si="3"/>
        <v>58</v>
      </c>
      <c r="K23" s="23">
        <f t="shared" ca="1" si="4"/>
        <v>305</v>
      </c>
      <c r="L23" s="23">
        <f t="shared" ca="1" si="5"/>
        <v>61</v>
      </c>
      <c r="M23" s="24">
        <f t="shared" ca="1" si="6"/>
        <v>0.61</v>
      </c>
      <c r="N23" s="23" t="str">
        <f t="shared" ca="1" si="7"/>
        <v>C</v>
      </c>
    </row>
    <row r="24" spans="1:14" x14ac:dyDescent="0.25">
      <c r="A24">
        <v>23</v>
      </c>
      <c r="B24" t="s">
        <v>76</v>
      </c>
      <c r="C24" t="s">
        <v>52</v>
      </c>
      <c r="D24" t="s">
        <v>41</v>
      </c>
      <c r="E24">
        <v>21</v>
      </c>
      <c r="F24">
        <v>35</v>
      </c>
      <c r="G24">
        <f t="shared" ca="1" si="0"/>
        <v>95</v>
      </c>
      <c r="H24">
        <f t="shared" ca="1" si="1"/>
        <v>58</v>
      </c>
      <c r="I24">
        <f t="shared" ca="1" si="2"/>
        <v>53</v>
      </c>
      <c r="J24">
        <f t="shared" ca="1" si="3"/>
        <v>44</v>
      </c>
      <c r="K24">
        <f t="shared" ca="1" si="4"/>
        <v>285</v>
      </c>
      <c r="L24">
        <f t="shared" ca="1" si="5"/>
        <v>57</v>
      </c>
      <c r="M24" s="21">
        <f t="shared" ca="1" si="6"/>
        <v>0.56999999999999995</v>
      </c>
      <c r="N24" t="str">
        <f t="shared" ca="1" si="7"/>
        <v>D</v>
      </c>
    </row>
    <row r="25" spans="1:14" x14ac:dyDescent="0.25">
      <c r="A25" s="23">
        <v>24</v>
      </c>
      <c r="B25" s="23" t="s">
        <v>77</v>
      </c>
      <c r="C25" s="23" t="s">
        <v>51</v>
      </c>
      <c r="D25" s="23" t="s">
        <v>45</v>
      </c>
      <c r="E25" s="23">
        <v>19</v>
      </c>
      <c r="F25" s="23">
        <v>46</v>
      </c>
      <c r="G25" s="23">
        <f t="shared" ca="1" si="0"/>
        <v>31</v>
      </c>
      <c r="H25" s="23">
        <f t="shared" ca="1" si="1"/>
        <v>86</v>
      </c>
      <c r="I25" s="23">
        <f t="shared" ca="1" si="2"/>
        <v>55</v>
      </c>
      <c r="J25" s="23">
        <f t="shared" ca="1" si="3"/>
        <v>80</v>
      </c>
      <c r="K25" s="23">
        <f t="shared" ca="1" si="4"/>
        <v>298</v>
      </c>
      <c r="L25" s="23">
        <f t="shared" ca="1" si="5"/>
        <v>59.6</v>
      </c>
      <c r="M25" s="24">
        <f t="shared" ca="1" si="6"/>
        <v>0.59599999999999997</v>
      </c>
      <c r="N25" s="23" t="str">
        <f t="shared" ca="1" si="7"/>
        <v>D</v>
      </c>
    </row>
    <row r="26" spans="1:14" x14ac:dyDescent="0.25">
      <c r="A26">
        <v>25</v>
      </c>
      <c r="B26" t="s">
        <v>78</v>
      </c>
      <c r="C26" t="s">
        <v>51</v>
      </c>
      <c r="D26" t="s">
        <v>41</v>
      </c>
      <c r="E26">
        <v>20</v>
      </c>
      <c r="F26">
        <v>85</v>
      </c>
      <c r="G26">
        <f t="shared" ca="1" si="0"/>
        <v>42</v>
      </c>
      <c r="H26">
        <f t="shared" ca="1" si="1"/>
        <v>48</v>
      </c>
      <c r="I26">
        <f t="shared" ca="1" si="2"/>
        <v>92</v>
      </c>
      <c r="J26">
        <f t="shared" ca="1" si="3"/>
        <v>61</v>
      </c>
      <c r="K26">
        <f t="shared" ca="1" si="4"/>
        <v>328</v>
      </c>
      <c r="L26">
        <f t="shared" ca="1" si="5"/>
        <v>65.599999999999994</v>
      </c>
      <c r="M26" s="21">
        <f t="shared" ca="1" si="6"/>
        <v>0.65600000000000003</v>
      </c>
      <c r="N26" t="str">
        <f t="shared" ca="1" si="7"/>
        <v>C</v>
      </c>
    </row>
    <row r="27" spans="1:14" x14ac:dyDescent="0.25">
      <c r="A27" s="23">
        <v>26</v>
      </c>
      <c r="B27" s="23" t="s">
        <v>79</v>
      </c>
      <c r="C27" s="23" t="s">
        <v>53</v>
      </c>
      <c r="D27" s="23" t="s">
        <v>45</v>
      </c>
      <c r="E27" s="23">
        <v>21</v>
      </c>
      <c r="F27" s="23">
        <v>65</v>
      </c>
      <c r="G27" s="23">
        <f t="shared" ca="1" si="0"/>
        <v>96</v>
      </c>
      <c r="H27" s="23">
        <f t="shared" ca="1" si="1"/>
        <v>86</v>
      </c>
      <c r="I27" s="23">
        <f t="shared" ca="1" si="2"/>
        <v>46</v>
      </c>
      <c r="J27" s="23">
        <f t="shared" ca="1" si="3"/>
        <v>34</v>
      </c>
      <c r="K27" s="23">
        <f t="shared" ca="1" si="4"/>
        <v>327</v>
      </c>
      <c r="L27" s="23">
        <f t="shared" ca="1" si="5"/>
        <v>65.400000000000006</v>
      </c>
      <c r="M27" s="24">
        <f t="shared" ca="1" si="6"/>
        <v>0.65400000000000003</v>
      </c>
      <c r="N27" s="23" t="str">
        <f t="shared" ca="1" si="7"/>
        <v>C</v>
      </c>
    </row>
    <row r="28" spans="1:14" x14ac:dyDescent="0.25">
      <c r="A28">
        <v>27</v>
      </c>
      <c r="B28" t="s">
        <v>80</v>
      </c>
      <c r="C28" t="s">
        <v>50</v>
      </c>
      <c r="D28" t="s">
        <v>41</v>
      </c>
      <c r="E28">
        <v>19</v>
      </c>
      <c r="F28">
        <v>45</v>
      </c>
      <c r="G28">
        <f t="shared" ca="1" si="0"/>
        <v>81</v>
      </c>
      <c r="H28">
        <f t="shared" ca="1" si="1"/>
        <v>88</v>
      </c>
      <c r="I28">
        <f t="shared" ca="1" si="2"/>
        <v>51</v>
      </c>
      <c r="J28">
        <f t="shared" ca="1" si="3"/>
        <v>90</v>
      </c>
      <c r="K28">
        <f t="shared" ca="1" si="4"/>
        <v>355</v>
      </c>
      <c r="L28">
        <f t="shared" ca="1" si="5"/>
        <v>71</v>
      </c>
      <c r="M28" s="21">
        <f t="shared" ca="1" si="6"/>
        <v>0.71</v>
      </c>
      <c r="N28" t="str">
        <f t="shared" ca="1" si="7"/>
        <v>B</v>
      </c>
    </row>
    <row r="29" spans="1:14" x14ac:dyDescent="0.25">
      <c r="A29" s="23">
        <v>28</v>
      </c>
      <c r="B29" s="23" t="s">
        <v>81</v>
      </c>
      <c r="C29" s="23" t="s">
        <v>48</v>
      </c>
      <c r="D29" s="23" t="s">
        <v>45</v>
      </c>
      <c r="E29" s="23">
        <v>18</v>
      </c>
      <c r="F29" s="23">
        <v>85</v>
      </c>
      <c r="G29" s="23">
        <f t="shared" ca="1" si="0"/>
        <v>36</v>
      </c>
      <c r="H29" s="23">
        <f t="shared" ca="1" si="1"/>
        <v>69</v>
      </c>
      <c r="I29" s="23">
        <f t="shared" ca="1" si="2"/>
        <v>39</v>
      </c>
      <c r="J29" s="23">
        <f t="shared" ca="1" si="3"/>
        <v>80</v>
      </c>
      <c r="K29" s="23">
        <f t="shared" ca="1" si="4"/>
        <v>309</v>
      </c>
      <c r="L29" s="23">
        <f t="shared" ca="1" si="5"/>
        <v>61.8</v>
      </c>
      <c r="M29" s="24">
        <f t="shared" ca="1" si="6"/>
        <v>0.61799999999999999</v>
      </c>
      <c r="N29" s="23" t="str">
        <f t="shared" ca="1" si="7"/>
        <v>C</v>
      </c>
    </row>
    <row r="30" spans="1:14" x14ac:dyDescent="0.25">
      <c r="A30">
        <v>29</v>
      </c>
      <c r="B30" t="s">
        <v>82</v>
      </c>
      <c r="C30" t="s">
        <v>48</v>
      </c>
      <c r="D30" t="s">
        <v>41</v>
      </c>
      <c r="E30">
        <v>20</v>
      </c>
      <c r="F30">
        <v>66</v>
      </c>
      <c r="G30">
        <f t="shared" ca="1" si="0"/>
        <v>62</v>
      </c>
      <c r="H30">
        <f t="shared" ca="1" si="1"/>
        <v>66</v>
      </c>
      <c r="I30">
        <f t="shared" ca="1" si="2"/>
        <v>91</v>
      </c>
      <c r="J30">
        <f t="shared" ca="1" si="3"/>
        <v>63</v>
      </c>
      <c r="K30">
        <f t="shared" ca="1" si="4"/>
        <v>348</v>
      </c>
      <c r="L30">
        <f t="shared" ca="1" si="5"/>
        <v>69.599999999999994</v>
      </c>
      <c r="M30" s="21">
        <f t="shared" ca="1" si="6"/>
        <v>0.69599999999999995</v>
      </c>
      <c r="N30" t="str">
        <f t="shared" ca="1" si="7"/>
        <v>C</v>
      </c>
    </row>
    <row r="31" spans="1:14" x14ac:dyDescent="0.25">
      <c r="A31" s="23">
        <v>30</v>
      </c>
      <c r="B31" s="23" t="s">
        <v>83</v>
      </c>
      <c r="C31" s="23" t="s">
        <v>52</v>
      </c>
      <c r="D31" s="23" t="s">
        <v>45</v>
      </c>
      <c r="E31" s="23">
        <v>21</v>
      </c>
      <c r="F31" s="23">
        <v>98</v>
      </c>
      <c r="G31" s="23">
        <f t="shared" ca="1" si="0"/>
        <v>44</v>
      </c>
      <c r="H31" s="23">
        <f t="shared" ca="1" si="1"/>
        <v>47</v>
      </c>
      <c r="I31" s="23">
        <f t="shared" ca="1" si="2"/>
        <v>77</v>
      </c>
      <c r="J31" s="23">
        <f t="shared" ca="1" si="3"/>
        <v>92</v>
      </c>
      <c r="K31" s="23">
        <f t="shared" ca="1" si="4"/>
        <v>358</v>
      </c>
      <c r="L31" s="23">
        <f t="shared" ca="1" si="5"/>
        <v>71.599999999999994</v>
      </c>
      <c r="M31" s="24">
        <f t="shared" ca="1" si="6"/>
        <v>0.71599999999999997</v>
      </c>
      <c r="N31" s="23" t="str">
        <f t="shared" ca="1" si="7"/>
        <v>B</v>
      </c>
    </row>
    <row r="32" spans="1:14" x14ac:dyDescent="0.25">
      <c r="A32">
        <v>31</v>
      </c>
      <c r="B32" t="s">
        <v>84</v>
      </c>
      <c r="C32" t="s">
        <v>48</v>
      </c>
      <c r="D32" t="s">
        <v>41</v>
      </c>
      <c r="E32">
        <v>19</v>
      </c>
      <c r="F32">
        <v>78</v>
      </c>
      <c r="G32">
        <f t="shared" ca="1" si="0"/>
        <v>94</v>
      </c>
      <c r="H32">
        <f t="shared" ca="1" si="1"/>
        <v>77</v>
      </c>
      <c r="I32">
        <f t="shared" ca="1" si="2"/>
        <v>76</v>
      </c>
      <c r="J32">
        <f t="shared" ca="1" si="3"/>
        <v>23</v>
      </c>
      <c r="K32">
        <f t="shared" ca="1" si="4"/>
        <v>348</v>
      </c>
      <c r="L32">
        <f t="shared" ca="1" si="5"/>
        <v>69.599999999999994</v>
      </c>
      <c r="M32" s="21">
        <f t="shared" ca="1" si="6"/>
        <v>0.69599999999999995</v>
      </c>
      <c r="N32" t="str">
        <f t="shared" ca="1" si="7"/>
        <v>C</v>
      </c>
    </row>
    <row r="33" spans="1:14" x14ac:dyDescent="0.25">
      <c r="A33" s="23">
        <v>32</v>
      </c>
      <c r="B33" s="23" t="s">
        <v>85</v>
      </c>
      <c r="C33" s="23" t="s">
        <v>50</v>
      </c>
      <c r="D33" s="23" t="s">
        <v>45</v>
      </c>
      <c r="E33" s="23">
        <v>18</v>
      </c>
      <c r="F33" s="23">
        <v>45</v>
      </c>
      <c r="G33" s="23">
        <f t="shared" ca="1" si="0"/>
        <v>38</v>
      </c>
      <c r="H33" s="23">
        <f t="shared" ca="1" si="1"/>
        <v>41</v>
      </c>
      <c r="I33" s="23">
        <f t="shared" ca="1" si="2"/>
        <v>73</v>
      </c>
      <c r="J33" s="23">
        <f t="shared" ca="1" si="3"/>
        <v>71</v>
      </c>
      <c r="K33" s="23">
        <f t="shared" ca="1" si="4"/>
        <v>268</v>
      </c>
      <c r="L33" s="23">
        <f t="shared" ca="1" si="5"/>
        <v>53.6</v>
      </c>
      <c r="M33" s="24">
        <f t="shared" ca="1" si="6"/>
        <v>0.53600000000000003</v>
      </c>
      <c r="N33" s="23" t="str">
        <f t="shared" ca="1" si="7"/>
        <v>D</v>
      </c>
    </row>
    <row r="34" spans="1:14" x14ac:dyDescent="0.25">
      <c r="A34">
        <v>33</v>
      </c>
      <c r="B34" t="s">
        <v>86</v>
      </c>
      <c r="C34" t="s">
        <v>52</v>
      </c>
      <c r="D34" t="s">
        <v>41</v>
      </c>
      <c r="E34">
        <v>20</v>
      </c>
      <c r="F34">
        <v>25</v>
      </c>
      <c r="G34">
        <f t="shared" ref="G34:G51" ca="1" si="8">RANDBETWEEN(20,100)</f>
        <v>91</v>
      </c>
      <c r="H34">
        <f t="shared" ref="H34:H51" ca="1" si="9">RANDBETWEEN(35,95)</f>
        <v>59</v>
      </c>
      <c r="I34">
        <f t="shared" ref="I34:I51" ca="1" si="10">RANDBETWEEN(30,100)</f>
        <v>64</v>
      </c>
      <c r="J34">
        <f t="shared" ref="J34:J51" ca="1" si="11">RANDBETWEEN(20,100)</f>
        <v>50</v>
      </c>
      <c r="K34">
        <f t="shared" ref="K34:K51" ca="1" si="12">SUM(F34:J34)</f>
        <v>289</v>
      </c>
      <c r="L34">
        <f t="shared" ref="L34:L51" ca="1" si="13">SUM(F34:J34)/5</f>
        <v>57.8</v>
      </c>
      <c r="M34" s="21">
        <f t="shared" ref="M34:M51" ca="1" si="14">SUM(F34:J34)/500</f>
        <v>0.57799999999999996</v>
      </c>
      <c r="N34" t="str">
        <f t="shared" ref="N34:N51" ca="1" si="15">IF(L34&gt;80,"A",IF(L34&gt;70,"B",IF(L34&gt;60,"C","D")))</f>
        <v>D</v>
      </c>
    </row>
    <row r="35" spans="1:14" x14ac:dyDescent="0.25">
      <c r="A35" s="23">
        <v>34</v>
      </c>
      <c r="B35" s="23" t="s">
        <v>87</v>
      </c>
      <c r="C35" s="23" t="s">
        <v>51</v>
      </c>
      <c r="D35" s="23" t="s">
        <v>45</v>
      </c>
      <c r="E35" s="23">
        <v>20</v>
      </c>
      <c r="F35" s="23">
        <v>36</v>
      </c>
      <c r="G35" s="23">
        <f t="shared" ca="1" si="8"/>
        <v>33</v>
      </c>
      <c r="H35" s="23">
        <f t="shared" ca="1" si="9"/>
        <v>69</v>
      </c>
      <c r="I35" s="23">
        <f t="shared" ca="1" si="10"/>
        <v>90</v>
      </c>
      <c r="J35" s="23">
        <f t="shared" ca="1" si="11"/>
        <v>100</v>
      </c>
      <c r="K35" s="23">
        <f t="shared" ca="1" si="12"/>
        <v>328</v>
      </c>
      <c r="L35" s="23">
        <f t="shared" ca="1" si="13"/>
        <v>65.599999999999994</v>
      </c>
      <c r="M35" s="24">
        <f t="shared" ca="1" si="14"/>
        <v>0.65600000000000003</v>
      </c>
      <c r="N35" s="23" t="str">
        <f t="shared" ca="1" si="15"/>
        <v>C</v>
      </c>
    </row>
    <row r="36" spans="1:14" x14ac:dyDescent="0.25">
      <c r="A36">
        <v>35</v>
      </c>
      <c r="B36" t="s">
        <v>88</v>
      </c>
      <c r="C36" t="s">
        <v>51</v>
      </c>
      <c r="D36" t="s">
        <v>41</v>
      </c>
      <c r="E36">
        <v>21</v>
      </c>
      <c r="F36">
        <v>85</v>
      </c>
      <c r="G36">
        <f t="shared" ca="1" si="8"/>
        <v>65</v>
      </c>
      <c r="H36">
        <f t="shared" ca="1" si="9"/>
        <v>59</v>
      </c>
      <c r="I36">
        <f t="shared" ca="1" si="10"/>
        <v>75</v>
      </c>
      <c r="J36">
        <f t="shared" ca="1" si="11"/>
        <v>51</v>
      </c>
      <c r="K36">
        <f t="shared" ca="1" si="12"/>
        <v>335</v>
      </c>
      <c r="L36">
        <f t="shared" ca="1" si="13"/>
        <v>67</v>
      </c>
      <c r="M36" s="21">
        <f t="shared" ca="1" si="14"/>
        <v>0.67</v>
      </c>
      <c r="N36" t="str">
        <f t="shared" ca="1" si="15"/>
        <v>C</v>
      </c>
    </row>
    <row r="37" spans="1:14" x14ac:dyDescent="0.25">
      <c r="A37" s="23">
        <v>36</v>
      </c>
      <c r="B37" s="23" t="s">
        <v>89</v>
      </c>
      <c r="C37" s="23" t="s">
        <v>53</v>
      </c>
      <c r="D37" s="23" t="s">
        <v>45</v>
      </c>
      <c r="E37" s="23">
        <v>19</v>
      </c>
      <c r="F37" s="23">
        <v>75</v>
      </c>
      <c r="G37" s="23">
        <f t="shared" ca="1" si="8"/>
        <v>90</v>
      </c>
      <c r="H37" s="23">
        <f t="shared" ca="1" si="9"/>
        <v>78</v>
      </c>
      <c r="I37" s="23">
        <f t="shared" ca="1" si="10"/>
        <v>77</v>
      </c>
      <c r="J37" s="23">
        <f t="shared" ca="1" si="11"/>
        <v>56</v>
      </c>
      <c r="K37" s="23">
        <f t="shared" ca="1" si="12"/>
        <v>376</v>
      </c>
      <c r="L37" s="23">
        <f t="shared" ca="1" si="13"/>
        <v>75.2</v>
      </c>
      <c r="M37" s="24">
        <f t="shared" ca="1" si="14"/>
        <v>0.752</v>
      </c>
      <c r="N37" s="23" t="str">
        <f t="shared" ca="1" si="15"/>
        <v>B</v>
      </c>
    </row>
    <row r="38" spans="1:14" x14ac:dyDescent="0.25">
      <c r="A38">
        <v>37</v>
      </c>
      <c r="B38" t="s">
        <v>90</v>
      </c>
      <c r="C38" t="s">
        <v>50</v>
      </c>
      <c r="D38" t="s">
        <v>41</v>
      </c>
      <c r="E38">
        <v>18</v>
      </c>
      <c r="F38">
        <v>54</v>
      </c>
      <c r="G38">
        <f t="shared" ca="1" si="8"/>
        <v>62</v>
      </c>
      <c r="H38">
        <f t="shared" ca="1" si="9"/>
        <v>46</v>
      </c>
      <c r="I38">
        <f t="shared" ca="1" si="10"/>
        <v>97</v>
      </c>
      <c r="J38">
        <f t="shared" ca="1" si="11"/>
        <v>91</v>
      </c>
      <c r="K38">
        <f t="shared" ca="1" si="12"/>
        <v>350</v>
      </c>
      <c r="L38">
        <f t="shared" ca="1" si="13"/>
        <v>70</v>
      </c>
      <c r="M38" s="21">
        <f t="shared" ca="1" si="14"/>
        <v>0.7</v>
      </c>
      <c r="N38" t="str">
        <f t="shared" ca="1" si="15"/>
        <v>C</v>
      </c>
    </row>
    <row r="39" spans="1:14" x14ac:dyDescent="0.25">
      <c r="A39" s="23">
        <v>38</v>
      </c>
      <c r="B39" s="23" t="s">
        <v>91</v>
      </c>
      <c r="C39" s="23" t="s">
        <v>48</v>
      </c>
      <c r="D39" s="23" t="s">
        <v>45</v>
      </c>
      <c r="E39" s="23">
        <v>20</v>
      </c>
      <c r="F39" s="23">
        <v>46</v>
      </c>
      <c r="G39" s="23">
        <f t="shared" ca="1" si="8"/>
        <v>76</v>
      </c>
      <c r="H39" s="23">
        <f t="shared" ca="1" si="9"/>
        <v>78</v>
      </c>
      <c r="I39" s="23">
        <f t="shared" ca="1" si="10"/>
        <v>95</v>
      </c>
      <c r="J39" s="23">
        <f t="shared" ca="1" si="11"/>
        <v>34</v>
      </c>
      <c r="K39" s="23">
        <f t="shared" ca="1" si="12"/>
        <v>329</v>
      </c>
      <c r="L39" s="23">
        <f t="shared" ca="1" si="13"/>
        <v>65.8</v>
      </c>
      <c r="M39" s="24">
        <f t="shared" ca="1" si="14"/>
        <v>0.65800000000000003</v>
      </c>
      <c r="N39" s="23" t="str">
        <f t="shared" ca="1" si="15"/>
        <v>C</v>
      </c>
    </row>
    <row r="40" spans="1:14" x14ac:dyDescent="0.25">
      <c r="A40">
        <v>39</v>
      </c>
      <c r="B40" t="s">
        <v>92</v>
      </c>
      <c r="C40" t="s">
        <v>48</v>
      </c>
      <c r="D40" t="s">
        <v>41</v>
      </c>
      <c r="E40">
        <v>21</v>
      </c>
      <c r="F40">
        <v>26</v>
      </c>
      <c r="G40">
        <f t="shared" ca="1" si="8"/>
        <v>76</v>
      </c>
      <c r="H40">
        <f t="shared" ca="1" si="9"/>
        <v>84</v>
      </c>
      <c r="I40">
        <f t="shared" ca="1" si="10"/>
        <v>95</v>
      </c>
      <c r="J40">
        <f t="shared" ca="1" si="11"/>
        <v>27</v>
      </c>
      <c r="K40">
        <f t="shared" ca="1" si="12"/>
        <v>308</v>
      </c>
      <c r="L40">
        <f t="shared" ca="1" si="13"/>
        <v>61.6</v>
      </c>
      <c r="M40" s="21">
        <f t="shared" ca="1" si="14"/>
        <v>0.61599999999999999</v>
      </c>
      <c r="N40" t="str">
        <f t="shared" ca="1" si="15"/>
        <v>C</v>
      </c>
    </row>
    <row r="41" spans="1:14" x14ac:dyDescent="0.25">
      <c r="A41" s="23">
        <v>40</v>
      </c>
      <c r="B41" s="23" t="s">
        <v>93</v>
      </c>
      <c r="C41" s="23" t="s">
        <v>52</v>
      </c>
      <c r="D41" s="23" t="s">
        <v>45</v>
      </c>
      <c r="E41" s="23">
        <v>19</v>
      </c>
      <c r="F41" s="23">
        <v>85</v>
      </c>
      <c r="G41" s="23">
        <f t="shared" ca="1" si="8"/>
        <v>47</v>
      </c>
      <c r="H41" s="23">
        <f t="shared" ca="1" si="9"/>
        <v>84</v>
      </c>
      <c r="I41" s="23">
        <f t="shared" ca="1" si="10"/>
        <v>41</v>
      </c>
      <c r="J41" s="23">
        <f t="shared" ca="1" si="11"/>
        <v>50</v>
      </c>
      <c r="K41" s="23">
        <f t="shared" ca="1" si="12"/>
        <v>307</v>
      </c>
      <c r="L41" s="23">
        <f t="shared" ca="1" si="13"/>
        <v>61.4</v>
      </c>
      <c r="M41" s="24">
        <f t="shared" ca="1" si="14"/>
        <v>0.61399999999999999</v>
      </c>
      <c r="N41" s="23" t="str">
        <f t="shared" ca="1" si="15"/>
        <v>C</v>
      </c>
    </row>
    <row r="42" spans="1:14" x14ac:dyDescent="0.25">
      <c r="A42">
        <v>41</v>
      </c>
      <c r="B42" t="s">
        <v>94</v>
      </c>
      <c r="C42" t="s">
        <v>48</v>
      </c>
      <c r="D42" t="s">
        <v>41</v>
      </c>
      <c r="E42">
        <v>20</v>
      </c>
      <c r="F42">
        <v>65</v>
      </c>
      <c r="G42">
        <f t="shared" ca="1" si="8"/>
        <v>42</v>
      </c>
      <c r="H42">
        <f t="shared" ca="1" si="9"/>
        <v>80</v>
      </c>
      <c r="I42">
        <f t="shared" ca="1" si="10"/>
        <v>76</v>
      </c>
      <c r="J42">
        <f t="shared" ca="1" si="11"/>
        <v>92</v>
      </c>
      <c r="K42">
        <f t="shared" ca="1" si="12"/>
        <v>355</v>
      </c>
      <c r="L42">
        <f t="shared" ca="1" si="13"/>
        <v>71</v>
      </c>
      <c r="M42" s="21">
        <f t="shared" ca="1" si="14"/>
        <v>0.71</v>
      </c>
      <c r="N42" t="str">
        <f t="shared" ca="1" si="15"/>
        <v>B</v>
      </c>
    </row>
    <row r="43" spans="1:14" x14ac:dyDescent="0.25">
      <c r="A43" s="23">
        <v>42</v>
      </c>
      <c r="B43" s="23" t="s">
        <v>95</v>
      </c>
      <c r="C43" s="23" t="s">
        <v>50</v>
      </c>
      <c r="D43" s="23" t="s">
        <v>45</v>
      </c>
      <c r="E43" s="23">
        <v>21</v>
      </c>
      <c r="F43" s="23">
        <v>45</v>
      </c>
      <c r="G43" s="23">
        <f t="shared" ca="1" si="8"/>
        <v>80</v>
      </c>
      <c r="H43" s="23">
        <f t="shared" ca="1" si="9"/>
        <v>89</v>
      </c>
      <c r="I43" s="23">
        <f t="shared" ca="1" si="10"/>
        <v>57</v>
      </c>
      <c r="J43" s="23">
        <f t="shared" ca="1" si="11"/>
        <v>63</v>
      </c>
      <c r="K43" s="23">
        <f t="shared" ca="1" si="12"/>
        <v>334</v>
      </c>
      <c r="L43" s="23">
        <f t="shared" ca="1" si="13"/>
        <v>66.8</v>
      </c>
      <c r="M43" s="24">
        <f t="shared" ca="1" si="14"/>
        <v>0.66800000000000004</v>
      </c>
      <c r="N43" s="23" t="str">
        <f t="shared" ca="1" si="15"/>
        <v>C</v>
      </c>
    </row>
    <row r="44" spans="1:14" x14ac:dyDescent="0.25">
      <c r="A44">
        <v>43</v>
      </c>
      <c r="B44" t="s">
        <v>96</v>
      </c>
      <c r="C44" t="s">
        <v>52</v>
      </c>
      <c r="D44" t="s">
        <v>41</v>
      </c>
      <c r="E44">
        <v>19</v>
      </c>
      <c r="F44">
        <v>36</v>
      </c>
      <c r="G44">
        <f t="shared" ca="1" si="8"/>
        <v>42</v>
      </c>
      <c r="H44">
        <f t="shared" ca="1" si="9"/>
        <v>72</v>
      </c>
      <c r="I44">
        <f t="shared" ca="1" si="10"/>
        <v>99</v>
      </c>
      <c r="J44">
        <f t="shared" ca="1" si="11"/>
        <v>63</v>
      </c>
      <c r="K44">
        <f t="shared" ca="1" si="12"/>
        <v>312</v>
      </c>
      <c r="L44">
        <f t="shared" ca="1" si="13"/>
        <v>62.4</v>
      </c>
      <c r="M44" s="21">
        <f t="shared" ca="1" si="14"/>
        <v>0.624</v>
      </c>
      <c r="N44" t="str">
        <f t="shared" ca="1" si="15"/>
        <v>C</v>
      </c>
    </row>
    <row r="45" spans="1:14" x14ac:dyDescent="0.25">
      <c r="A45" s="23">
        <v>44</v>
      </c>
      <c r="B45" s="23" t="s">
        <v>97</v>
      </c>
      <c r="C45" s="23" t="s">
        <v>51</v>
      </c>
      <c r="D45" s="23" t="s">
        <v>45</v>
      </c>
      <c r="E45" s="23">
        <v>18</v>
      </c>
      <c r="F45" s="23">
        <v>45</v>
      </c>
      <c r="G45" s="23">
        <f t="shared" ca="1" si="8"/>
        <v>93</v>
      </c>
      <c r="H45" s="23">
        <f t="shared" ca="1" si="9"/>
        <v>76</v>
      </c>
      <c r="I45" s="23">
        <f t="shared" ca="1" si="10"/>
        <v>57</v>
      </c>
      <c r="J45" s="23">
        <f t="shared" ca="1" si="11"/>
        <v>90</v>
      </c>
      <c r="K45" s="23">
        <f t="shared" ca="1" si="12"/>
        <v>361</v>
      </c>
      <c r="L45" s="23">
        <f t="shared" ca="1" si="13"/>
        <v>72.2</v>
      </c>
      <c r="M45" s="24">
        <f t="shared" ca="1" si="14"/>
        <v>0.72199999999999998</v>
      </c>
      <c r="N45" s="23" t="str">
        <f t="shared" ca="1" si="15"/>
        <v>B</v>
      </c>
    </row>
    <row r="46" spans="1:14" x14ac:dyDescent="0.25">
      <c r="A46">
        <v>45</v>
      </c>
      <c r="B46" t="s">
        <v>98</v>
      </c>
      <c r="C46" t="s">
        <v>51</v>
      </c>
      <c r="D46" t="s">
        <v>41</v>
      </c>
      <c r="E46">
        <v>20</v>
      </c>
      <c r="F46">
        <v>85</v>
      </c>
      <c r="G46">
        <f t="shared" ca="1" si="8"/>
        <v>36</v>
      </c>
      <c r="H46">
        <f t="shared" ca="1" si="9"/>
        <v>88</v>
      </c>
      <c r="I46">
        <f t="shared" ca="1" si="10"/>
        <v>70</v>
      </c>
      <c r="J46">
        <f t="shared" ca="1" si="11"/>
        <v>58</v>
      </c>
      <c r="K46">
        <f t="shared" ca="1" si="12"/>
        <v>337</v>
      </c>
      <c r="L46">
        <f t="shared" ca="1" si="13"/>
        <v>67.400000000000006</v>
      </c>
      <c r="M46" s="21">
        <f t="shared" ca="1" si="14"/>
        <v>0.67400000000000004</v>
      </c>
      <c r="N46" t="str">
        <f t="shared" ca="1" si="15"/>
        <v>C</v>
      </c>
    </row>
    <row r="47" spans="1:14" x14ac:dyDescent="0.25">
      <c r="A47" s="23">
        <v>46</v>
      </c>
      <c r="B47" s="23" t="s">
        <v>99</v>
      </c>
      <c r="C47" s="23" t="s">
        <v>53</v>
      </c>
      <c r="D47" s="23" t="s">
        <v>45</v>
      </c>
      <c r="E47" s="23">
        <v>20</v>
      </c>
      <c r="F47" s="23">
        <v>45</v>
      </c>
      <c r="G47" s="23">
        <f t="shared" ca="1" si="8"/>
        <v>87</v>
      </c>
      <c r="H47" s="23">
        <f t="shared" ca="1" si="9"/>
        <v>72</v>
      </c>
      <c r="I47" s="23">
        <f t="shared" ca="1" si="10"/>
        <v>30</v>
      </c>
      <c r="J47" s="23">
        <f t="shared" ca="1" si="11"/>
        <v>93</v>
      </c>
      <c r="K47" s="23">
        <f t="shared" ca="1" si="12"/>
        <v>327</v>
      </c>
      <c r="L47" s="23">
        <f t="shared" ca="1" si="13"/>
        <v>65.400000000000006</v>
      </c>
      <c r="M47" s="24">
        <f t="shared" ca="1" si="14"/>
        <v>0.65400000000000003</v>
      </c>
      <c r="N47" s="23" t="str">
        <f t="shared" ca="1" si="15"/>
        <v>C</v>
      </c>
    </row>
    <row r="48" spans="1:14" x14ac:dyDescent="0.25">
      <c r="A48">
        <v>47</v>
      </c>
      <c r="B48" t="s">
        <v>100</v>
      </c>
      <c r="C48" t="s">
        <v>50</v>
      </c>
      <c r="D48" t="s">
        <v>41</v>
      </c>
      <c r="E48">
        <v>21</v>
      </c>
      <c r="F48">
        <v>36</v>
      </c>
      <c r="G48">
        <f t="shared" ca="1" si="8"/>
        <v>87</v>
      </c>
      <c r="H48">
        <f t="shared" ca="1" si="9"/>
        <v>50</v>
      </c>
      <c r="I48">
        <f t="shared" ca="1" si="10"/>
        <v>51</v>
      </c>
      <c r="J48">
        <f t="shared" ca="1" si="11"/>
        <v>40</v>
      </c>
      <c r="K48">
        <f t="shared" ca="1" si="12"/>
        <v>264</v>
      </c>
      <c r="L48">
        <f t="shared" ca="1" si="13"/>
        <v>52.8</v>
      </c>
      <c r="M48" s="21">
        <f t="shared" ca="1" si="14"/>
        <v>0.52800000000000002</v>
      </c>
      <c r="N48" t="str">
        <f t="shared" ca="1" si="15"/>
        <v>D</v>
      </c>
    </row>
    <row r="49" spans="1:14" x14ac:dyDescent="0.25">
      <c r="A49" s="23">
        <v>48</v>
      </c>
      <c r="B49" s="23" t="s">
        <v>101</v>
      </c>
      <c r="C49" s="23" t="s">
        <v>48</v>
      </c>
      <c r="D49" s="23" t="s">
        <v>45</v>
      </c>
      <c r="E49" s="23">
        <v>19</v>
      </c>
      <c r="F49" s="23">
        <v>65</v>
      </c>
      <c r="G49" s="23">
        <f t="shared" ca="1" si="8"/>
        <v>23</v>
      </c>
      <c r="H49" s="23">
        <f t="shared" ca="1" si="9"/>
        <v>93</v>
      </c>
      <c r="I49" s="23">
        <f t="shared" ca="1" si="10"/>
        <v>90</v>
      </c>
      <c r="J49" s="23">
        <f t="shared" ca="1" si="11"/>
        <v>24</v>
      </c>
      <c r="K49" s="23">
        <f t="shared" ca="1" si="12"/>
        <v>295</v>
      </c>
      <c r="L49" s="23">
        <f t="shared" ca="1" si="13"/>
        <v>59</v>
      </c>
      <c r="M49" s="24">
        <f t="shared" ca="1" si="14"/>
        <v>0.59</v>
      </c>
      <c r="N49" s="23" t="str">
        <f t="shared" ca="1" si="15"/>
        <v>D</v>
      </c>
    </row>
    <row r="50" spans="1:14" x14ac:dyDescent="0.25">
      <c r="A50">
        <v>49</v>
      </c>
      <c r="B50" t="s">
        <v>102</v>
      </c>
      <c r="C50" t="s">
        <v>48</v>
      </c>
      <c r="D50" t="s">
        <v>41</v>
      </c>
      <c r="E50">
        <v>18</v>
      </c>
      <c r="F50">
        <v>87</v>
      </c>
      <c r="G50">
        <f t="shared" ca="1" si="8"/>
        <v>24</v>
      </c>
      <c r="H50">
        <f t="shared" ca="1" si="9"/>
        <v>51</v>
      </c>
      <c r="I50">
        <f t="shared" ca="1" si="10"/>
        <v>43</v>
      </c>
      <c r="J50">
        <f t="shared" ca="1" si="11"/>
        <v>94</v>
      </c>
      <c r="K50">
        <f t="shared" ca="1" si="12"/>
        <v>299</v>
      </c>
      <c r="L50">
        <f t="shared" ca="1" si="13"/>
        <v>59.8</v>
      </c>
      <c r="M50" s="21">
        <f t="shared" ca="1" si="14"/>
        <v>0.59799999999999998</v>
      </c>
      <c r="N50" t="str">
        <f t="shared" ca="1" si="15"/>
        <v>D</v>
      </c>
    </row>
    <row r="51" spans="1:14" x14ac:dyDescent="0.25">
      <c r="A51" s="23">
        <v>50</v>
      </c>
      <c r="B51" s="23" t="s">
        <v>103</v>
      </c>
      <c r="C51" s="23" t="s">
        <v>53</v>
      </c>
      <c r="D51" s="23" t="s">
        <v>45</v>
      </c>
      <c r="E51" s="23">
        <v>20</v>
      </c>
      <c r="F51" s="23">
        <v>45</v>
      </c>
      <c r="G51" s="23">
        <f t="shared" ca="1" si="8"/>
        <v>36</v>
      </c>
      <c r="H51" s="23">
        <f t="shared" ca="1" si="9"/>
        <v>92</v>
      </c>
      <c r="I51" s="23">
        <f t="shared" ca="1" si="10"/>
        <v>41</v>
      </c>
      <c r="J51" s="23">
        <f t="shared" ca="1" si="11"/>
        <v>20</v>
      </c>
      <c r="K51" s="23">
        <f t="shared" ca="1" si="12"/>
        <v>234</v>
      </c>
      <c r="L51" s="23">
        <f t="shared" ca="1" si="13"/>
        <v>46.8</v>
      </c>
      <c r="M51" s="24">
        <f t="shared" ca="1" si="14"/>
        <v>0.46800000000000003</v>
      </c>
      <c r="N51" s="23" t="str">
        <f t="shared" ca="1" si="15"/>
        <v>D</v>
      </c>
    </row>
  </sheetData>
  <phoneticPr fontId="5" type="noConversion"/>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type="column" displayEmptyCellsAs="gap" xr2:uid="{6D2783CE-403D-445A-9BA5-FC3999E68B93}">
          <x14:colorSeries theme="8"/>
          <x14:colorNegative theme="9"/>
          <x14:colorAxis rgb="FF000000"/>
          <x14:colorMarkers theme="8" tint="-0.249977111117893"/>
          <x14:colorFirst theme="8" tint="-0.249977111117893"/>
          <x14:colorLast theme="8" tint="-0.249977111117893"/>
          <x14:colorHigh theme="8" tint="-0.249977111117893"/>
          <x14:colorLow theme="8" tint="-0.249977111117893"/>
          <x14:sparklines>
            <x14:sparkline>
              <xm:f>'50Stu_Data'!F2:J2</xm:f>
              <xm:sqref>P2</xm:sqref>
            </x14:sparkline>
            <x14:sparkline>
              <xm:f>'50Stu_Data'!F3:J3</xm:f>
              <xm:sqref>P3</xm:sqref>
            </x14:sparkline>
            <x14:sparkline>
              <xm:f>'50Stu_Data'!F4:J4</xm:f>
              <xm:sqref>P4</xm:sqref>
            </x14:sparkline>
            <x14:sparkline>
              <xm:f>'50Stu_Data'!F5:J5</xm:f>
              <xm:sqref>P5</xm:sqref>
            </x14:sparkline>
            <x14:sparkline>
              <xm:f>'50Stu_Data'!F6:J6</xm:f>
              <xm:sqref>P6</xm:sqref>
            </x14:sparkline>
            <x14:sparkline>
              <xm:f>'50Stu_Data'!F7:J7</xm:f>
              <xm:sqref>P7</xm:sqref>
            </x14:sparkline>
            <x14:sparkline>
              <xm:f>'50Stu_Data'!F8:J8</xm:f>
              <xm:sqref>P8</xm:sqref>
            </x14:sparkline>
            <x14:sparkline>
              <xm:f>'50Stu_Data'!F9:J9</xm:f>
              <xm:sqref>P9</xm:sqref>
            </x14:sparkline>
            <x14:sparkline>
              <xm:f>'50Stu_Data'!F10:J10</xm:f>
              <xm:sqref>P10</xm:sqref>
            </x14:sparkline>
            <x14:sparkline>
              <xm:f>'50Stu_Data'!F11:J11</xm:f>
              <xm:sqref>P11</xm:sqref>
            </x14:sparkline>
            <x14:sparkline>
              <xm:f>'50Stu_Data'!F12:J12</xm:f>
              <xm:sqref>P12</xm:sqref>
            </x14:sparkline>
            <x14:sparkline>
              <xm:f>'50Stu_Data'!F13:J13</xm:f>
              <xm:sqref>P13</xm:sqref>
            </x14:sparkline>
            <x14:sparkline>
              <xm:f>'50Stu_Data'!F14:J14</xm:f>
              <xm:sqref>P14</xm:sqref>
            </x14:sparkline>
            <x14:sparkline>
              <xm:f>'50Stu_Data'!F15:J15</xm:f>
              <xm:sqref>P15</xm:sqref>
            </x14:sparkline>
            <x14:sparkline>
              <xm:f>'50Stu_Data'!F16:J16</xm:f>
              <xm:sqref>P16</xm:sqref>
            </x14:sparkline>
            <x14:sparkline>
              <xm:f>'50Stu_Data'!F17:J17</xm:f>
              <xm:sqref>P17</xm:sqref>
            </x14:sparkline>
            <x14:sparkline>
              <xm:f>'50Stu_Data'!F18:J18</xm:f>
              <xm:sqref>P18</xm:sqref>
            </x14:sparkline>
            <x14:sparkline>
              <xm:f>'50Stu_Data'!F19:J19</xm:f>
              <xm:sqref>P19</xm:sqref>
            </x14:sparkline>
            <x14:sparkline>
              <xm:f>'50Stu_Data'!F20:J20</xm:f>
              <xm:sqref>P20</xm:sqref>
            </x14:sparkline>
            <x14:sparkline>
              <xm:f>'50Stu_Data'!F21:J21</xm:f>
              <xm:sqref>P21</xm:sqref>
            </x14:sparkline>
            <x14:sparkline>
              <xm:f>'50Stu_Data'!F22:J22</xm:f>
              <xm:sqref>P22</xm:sqref>
            </x14:sparkline>
            <x14:sparkline>
              <xm:f>'50Stu_Data'!F23:J23</xm:f>
              <xm:sqref>P23</xm:sqref>
            </x14:sparkline>
            <x14:sparkline>
              <xm:f>'50Stu_Data'!F24:J24</xm:f>
              <xm:sqref>P24</xm:sqref>
            </x14:sparkline>
            <x14:sparkline>
              <xm:f>'50Stu_Data'!F25:J25</xm:f>
              <xm:sqref>P25</xm:sqref>
            </x14:sparkline>
            <x14:sparkline>
              <xm:f>'50Stu_Data'!F26:J26</xm:f>
              <xm:sqref>P26</xm:sqref>
            </x14:sparkline>
            <x14:sparkline>
              <xm:f>'50Stu_Data'!F27:J27</xm:f>
              <xm:sqref>P27</xm:sqref>
            </x14:sparkline>
            <x14:sparkline>
              <xm:f>'50Stu_Data'!F28:J28</xm:f>
              <xm:sqref>P28</xm:sqref>
            </x14:sparkline>
            <x14:sparkline>
              <xm:f>'50Stu_Data'!F29:J29</xm:f>
              <xm:sqref>P29</xm:sqref>
            </x14:sparkline>
            <x14:sparkline>
              <xm:f>'50Stu_Data'!F30:J30</xm:f>
              <xm:sqref>P30</xm:sqref>
            </x14:sparkline>
            <x14:sparkline>
              <xm:f>'50Stu_Data'!F31:J31</xm:f>
              <xm:sqref>P31</xm:sqref>
            </x14:sparkline>
            <x14:sparkline>
              <xm:f>'50Stu_Data'!F32:J32</xm:f>
              <xm:sqref>P32</xm:sqref>
            </x14:sparkline>
            <x14:sparkline>
              <xm:f>'50Stu_Data'!F33:J33</xm:f>
              <xm:sqref>P33</xm:sqref>
            </x14:sparkline>
            <x14:sparkline>
              <xm:f>'50Stu_Data'!F34:J34</xm:f>
              <xm:sqref>P34</xm:sqref>
            </x14:sparkline>
            <x14:sparkline>
              <xm:f>'50Stu_Data'!F35:J35</xm:f>
              <xm:sqref>P35</xm:sqref>
            </x14:sparkline>
            <x14:sparkline>
              <xm:f>'50Stu_Data'!F36:J36</xm:f>
              <xm:sqref>P36</xm:sqref>
            </x14:sparkline>
            <x14:sparkline>
              <xm:f>'50Stu_Data'!F37:J37</xm:f>
              <xm:sqref>P37</xm:sqref>
            </x14:sparkline>
            <x14:sparkline>
              <xm:f>'50Stu_Data'!F38:J38</xm:f>
              <xm:sqref>P38</xm:sqref>
            </x14:sparkline>
            <x14:sparkline>
              <xm:f>'50Stu_Data'!F39:J39</xm:f>
              <xm:sqref>P39</xm:sqref>
            </x14:sparkline>
            <x14:sparkline>
              <xm:f>'50Stu_Data'!F40:J40</xm:f>
              <xm:sqref>P40</xm:sqref>
            </x14:sparkline>
            <x14:sparkline>
              <xm:f>'50Stu_Data'!F41:J41</xm:f>
              <xm:sqref>P41</xm:sqref>
            </x14:sparkline>
            <x14:sparkline>
              <xm:f>'50Stu_Data'!F42:J42</xm:f>
              <xm:sqref>P42</xm:sqref>
            </x14:sparkline>
            <x14:sparkline>
              <xm:f>'50Stu_Data'!F43:J43</xm:f>
              <xm:sqref>P43</xm:sqref>
            </x14:sparkline>
            <x14:sparkline>
              <xm:f>'50Stu_Data'!F44:J44</xm:f>
              <xm:sqref>P44</xm:sqref>
            </x14:sparkline>
            <x14:sparkline>
              <xm:f>'50Stu_Data'!F45:J45</xm:f>
              <xm:sqref>P45</xm:sqref>
            </x14:sparkline>
            <x14:sparkline>
              <xm:f>'50Stu_Data'!F46:J46</xm:f>
              <xm:sqref>P46</xm:sqref>
            </x14:sparkline>
            <x14:sparkline>
              <xm:f>'50Stu_Data'!F47:J47</xm:f>
              <xm:sqref>P47</xm:sqref>
            </x14:sparkline>
            <x14:sparkline>
              <xm:f>'50Stu_Data'!F48:J48</xm:f>
              <xm:sqref>P48</xm:sqref>
            </x14:sparkline>
            <x14:sparkline>
              <xm:f>'50Stu_Data'!F49:J49</xm:f>
              <xm:sqref>P49</xm:sqref>
            </x14:sparkline>
            <x14:sparkline>
              <xm:f>'50Stu_Data'!F50:J50</xm:f>
              <xm:sqref>P50</xm:sqref>
            </x14:sparkline>
            <x14:sparkline>
              <xm:f>'50Stu_Data'!F51:J51</xm:f>
              <xm:sqref>P51</xm:sqref>
            </x14:sparkline>
          </x14:sparklines>
        </x14:sparklineGroup>
        <x14:sparklineGroup displayEmptyCellsAs="gap" markers="1" xr2:uid="{8E633978-ECC7-4603-B860-66E207DCF658}">
          <x14:colorSeries rgb="FF376092"/>
          <x14:colorNegative rgb="FFD00000"/>
          <x14:colorAxis rgb="FF000000"/>
          <x14:colorMarkers rgb="FFD00000"/>
          <x14:colorFirst rgb="FFD00000"/>
          <x14:colorLast rgb="FFD00000"/>
          <x14:colorHigh rgb="FFD00000"/>
          <x14:colorLow rgb="FFD00000"/>
          <x14:sparklines>
            <x14:sparkline>
              <xm:f>'50Stu_Data'!F2:J2</xm:f>
              <xm:sqref>O2</xm:sqref>
            </x14:sparkline>
            <x14:sparkline>
              <xm:f>'50Stu_Data'!F3:J3</xm:f>
              <xm:sqref>O3</xm:sqref>
            </x14:sparkline>
            <x14:sparkline>
              <xm:f>'50Stu_Data'!F4:J4</xm:f>
              <xm:sqref>O4</xm:sqref>
            </x14:sparkline>
            <x14:sparkline>
              <xm:f>'50Stu_Data'!F5:J5</xm:f>
              <xm:sqref>O5</xm:sqref>
            </x14:sparkline>
            <x14:sparkline>
              <xm:f>'50Stu_Data'!F6:J6</xm:f>
              <xm:sqref>O6</xm:sqref>
            </x14:sparkline>
            <x14:sparkline>
              <xm:f>'50Stu_Data'!F7:J7</xm:f>
              <xm:sqref>O7</xm:sqref>
            </x14:sparkline>
            <x14:sparkline>
              <xm:f>'50Stu_Data'!F8:J8</xm:f>
              <xm:sqref>O8</xm:sqref>
            </x14:sparkline>
            <x14:sparkline>
              <xm:f>'50Stu_Data'!F9:J9</xm:f>
              <xm:sqref>O9</xm:sqref>
            </x14:sparkline>
            <x14:sparkline>
              <xm:f>'50Stu_Data'!F10:J10</xm:f>
              <xm:sqref>O10</xm:sqref>
            </x14:sparkline>
            <x14:sparkline>
              <xm:f>'50Stu_Data'!F11:J11</xm:f>
              <xm:sqref>O11</xm:sqref>
            </x14:sparkline>
            <x14:sparkline>
              <xm:f>'50Stu_Data'!F12:J12</xm:f>
              <xm:sqref>O12</xm:sqref>
            </x14:sparkline>
            <x14:sparkline>
              <xm:f>'50Stu_Data'!F13:J13</xm:f>
              <xm:sqref>O13</xm:sqref>
            </x14:sparkline>
            <x14:sparkline>
              <xm:f>'50Stu_Data'!F14:J14</xm:f>
              <xm:sqref>O14</xm:sqref>
            </x14:sparkline>
            <x14:sparkline>
              <xm:f>'50Stu_Data'!F15:J15</xm:f>
              <xm:sqref>O15</xm:sqref>
            </x14:sparkline>
            <x14:sparkline>
              <xm:f>'50Stu_Data'!F16:J16</xm:f>
              <xm:sqref>O16</xm:sqref>
            </x14:sparkline>
            <x14:sparkline>
              <xm:f>'50Stu_Data'!F17:J17</xm:f>
              <xm:sqref>O17</xm:sqref>
            </x14:sparkline>
            <x14:sparkline>
              <xm:f>'50Stu_Data'!F18:J18</xm:f>
              <xm:sqref>O18</xm:sqref>
            </x14:sparkline>
            <x14:sparkline>
              <xm:f>'50Stu_Data'!F19:J19</xm:f>
              <xm:sqref>O19</xm:sqref>
            </x14:sparkline>
            <x14:sparkline>
              <xm:f>'50Stu_Data'!F20:J20</xm:f>
              <xm:sqref>O20</xm:sqref>
            </x14:sparkline>
            <x14:sparkline>
              <xm:f>'50Stu_Data'!F21:J21</xm:f>
              <xm:sqref>O21</xm:sqref>
            </x14:sparkline>
            <x14:sparkline>
              <xm:f>'50Stu_Data'!F22:J22</xm:f>
              <xm:sqref>O22</xm:sqref>
            </x14:sparkline>
            <x14:sparkline>
              <xm:f>'50Stu_Data'!F23:J23</xm:f>
              <xm:sqref>O23</xm:sqref>
            </x14:sparkline>
            <x14:sparkline>
              <xm:f>'50Stu_Data'!F24:J24</xm:f>
              <xm:sqref>O24</xm:sqref>
            </x14:sparkline>
            <x14:sparkline>
              <xm:f>'50Stu_Data'!F25:J25</xm:f>
              <xm:sqref>O25</xm:sqref>
            </x14:sparkline>
            <x14:sparkline>
              <xm:f>'50Stu_Data'!F26:J26</xm:f>
              <xm:sqref>O26</xm:sqref>
            </x14:sparkline>
            <x14:sparkline>
              <xm:f>'50Stu_Data'!F27:J27</xm:f>
              <xm:sqref>O27</xm:sqref>
            </x14:sparkline>
            <x14:sparkline>
              <xm:f>'50Stu_Data'!F28:J28</xm:f>
              <xm:sqref>O28</xm:sqref>
            </x14:sparkline>
            <x14:sparkline>
              <xm:f>'50Stu_Data'!F29:J29</xm:f>
              <xm:sqref>O29</xm:sqref>
            </x14:sparkline>
            <x14:sparkline>
              <xm:f>'50Stu_Data'!F30:J30</xm:f>
              <xm:sqref>O30</xm:sqref>
            </x14:sparkline>
            <x14:sparkline>
              <xm:f>'50Stu_Data'!F31:J31</xm:f>
              <xm:sqref>O31</xm:sqref>
            </x14:sparkline>
            <x14:sparkline>
              <xm:f>'50Stu_Data'!F32:J32</xm:f>
              <xm:sqref>O32</xm:sqref>
            </x14:sparkline>
            <x14:sparkline>
              <xm:f>'50Stu_Data'!F33:J33</xm:f>
              <xm:sqref>O33</xm:sqref>
            </x14:sparkline>
            <x14:sparkline>
              <xm:f>'50Stu_Data'!F34:J34</xm:f>
              <xm:sqref>O34</xm:sqref>
            </x14:sparkline>
            <x14:sparkline>
              <xm:f>'50Stu_Data'!F35:J35</xm:f>
              <xm:sqref>O35</xm:sqref>
            </x14:sparkline>
            <x14:sparkline>
              <xm:f>'50Stu_Data'!F36:J36</xm:f>
              <xm:sqref>O36</xm:sqref>
            </x14:sparkline>
            <x14:sparkline>
              <xm:f>'50Stu_Data'!F37:J37</xm:f>
              <xm:sqref>O37</xm:sqref>
            </x14:sparkline>
            <x14:sparkline>
              <xm:f>'50Stu_Data'!F38:J38</xm:f>
              <xm:sqref>O38</xm:sqref>
            </x14:sparkline>
            <x14:sparkline>
              <xm:f>'50Stu_Data'!F39:J39</xm:f>
              <xm:sqref>O39</xm:sqref>
            </x14:sparkline>
            <x14:sparkline>
              <xm:f>'50Stu_Data'!F40:J40</xm:f>
              <xm:sqref>O40</xm:sqref>
            </x14:sparkline>
            <x14:sparkline>
              <xm:f>'50Stu_Data'!F41:J41</xm:f>
              <xm:sqref>O41</xm:sqref>
            </x14:sparkline>
            <x14:sparkline>
              <xm:f>'50Stu_Data'!F42:J42</xm:f>
              <xm:sqref>O42</xm:sqref>
            </x14:sparkline>
            <x14:sparkline>
              <xm:f>'50Stu_Data'!F43:J43</xm:f>
              <xm:sqref>O43</xm:sqref>
            </x14:sparkline>
            <x14:sparkline>
              <xm:f>'50Stu_Data'!F44:J44</xm:f>
              <xm:sqref>O44</xm:sqref>
            </x14:sparkline>
            <x14:sparkline>
              <xm:f>'50Stu_Data'!F45:J45</xm:f>
              <xm:sqref>O45</xm:sqref>
            </x14:sparkline>
            <x14:sparkline>
              <xm:f>'50Stu_Data'!F46:J46</xm:f>
              <xm:sqref>O46</xm:sqref>
            </x14:sparkline>
            <x14:sparkline>
              <xm:f>'50Stu_Data'!F47:J47</xm:f>
              <xm:sqref>O47</xm:sqref>
            </x14:sparkline>
            <x14:sparkline>
              <xm:f>'50Stu_Data'!F48:J48</xm:f>
              <xm:sqref>O48</xm:sqref>
            </x14:sparkline>
            <x14:sparkline>
              <xm:f>'50Stu_Data'!F49:J49</xm:f>
              <xm:sqref>O49</xm:sqref>
            </x14:sparkline>
            <x14:sparkline>
              <xm:f>'50Stu_Data'!F50:J50</xm:f>
              <xm:sqref>O50</xm:sqref>
            </x14:sparkline>
            <x14:sparkline>
              <xm:f>'50Stu_Data'!F51:J51</xm:f>
              <xm:sqref>O51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Pivot1</vt:lpstr>
      <vt:lpstr>Pivot2</vt:lpstr>
      <vt:lpstr>Pivot3</vt:lpstr>
      <vt:lpstr>Sheet2</vt:lpstr>
      <vt:lpstr>50Stu_Data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2025-02-23T04:29:38Z</cp:lastPrinted>
  <dcterms:created xsi:type="dcterms:W3CDTF">2025-02-14T02:26:56Z</dcterms:created>
  <dcterms:modified xsi:type="dcterms:W3CDTF">2025-03-22T16:46:46Z</dcterms:modified>
</cp:coreProperties>
</file>